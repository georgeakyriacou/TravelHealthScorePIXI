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netorgft15703813-my.sharepoint.com/personal/emma_pixigroup_ai/Documents/PIXI/PIXI FINANCE/Budgeting/Forecasting/"/>
    </mc:Choice>
  </mc:AlternateContent>
  <xr:revisionPtr revIDLastSave="353" documentId="8_{8FC2AE39-8E3E-994C-9D66-0B34411C723E}" xr6:coauthVersionLast="47" xr6:coauthVersionMax="47" xr10:uidLastSave="{77588F25-AC86-0A4D-BCB4-2B39F4EB4519}"/>
  <bookViews>
    <workbookView xWindow="0" yWindow="660" windowWidth="29400" windowHeight="17300" tabRatio="500" xr2:uid="{00000000-000D-0000-FFFF-FFFF00000000}"/>
  </bookViews>
  <sheets>
    <sheet name="Graduated Pricing" sheetId="1" r:id="rId1"/>
    <sheet name="Inclusions + Add-Ons" sheetId="6" r:id="rId2"/>
    <sheet name="Pricing Model" sheetId="2" r:id="rId3"/>
    <sheet name="Group Scenarios" sheetId="3" r:id="rId4"/>
    <sheet name="Revenue Forecast" sheetId="4" r:id="rId5"/>
    <sheet name="Notes &amp; Sources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F54" i="1"/>
  <c r="L17" i="3"/>
  <c r="G17" i="3"/>
  <c r="C17" i="3"/>
  <c r="D17" i="3" s="1"/>
  <c r="L16" i="3"/>
  <c r="G16" i="3"/>
  <c r="C16" i="3"/>
  <c r="D16" i="3" s="1"/>
  <c r="L15" i="3"/>
  <c r="G15" i="3"/>
  <c r="C15" i="3"/>
  <c r="D15" i="3" s="1"/>
  <c r="L14" i="3"/>
  <c r="G14" i="3"/>
  <c r="C14" i="3"/>
  <c r="D14" i="3" s="1"/>
  <c r="L13" i="3"/>
  <c r="G13" i="3"/>
  <c r="C13" i="3"/>
  <c r="D13" i="3" s="1"/>
  <c r="L12" i="3"/>
  <c r="G12" i="3"/>
  <c r="C12" i="3"/>
  <c r="D12" i="3" s="1"/>
  <c r="L11" i="3"/>
  <c r="G11" i="3"/>
  <c r="C11" i="3"/>
  <c r="D11" i="3" s="1"/>
  <c r="L10" i="3"/>
  <c r="G10" i="3"/>
  <c r="C10" i="3"/>
  <c r="D10" i="3" s="1"/>
  <c r="L9" i="3"/>
  <c r="G9" i="3"/>
  <c r="C9" i="3"/>
  <c r="D9" i="3" s="1"/>
  <c r="L8" i="3"/>
  <c r="G8" i="3"/>
  <c r="C8" i="3"/>
  <c r="D8" i="3" s="1"/>
  <c r="L7" i="3"/>
  <c r="G7" i="3"/>
  <c r="C7" i="3"/>
  <c r="D7" i="3" s="1"/>
  <c r="L6" i="3"/>
  <c r="G6" i="3"/>
  <c r="C6" i="3"/>
  <c r="D6" i="3" s="1"/>
  <c r="D73" i="2"/>
  <c r="C73" i="2"/>
  <c r="D72" i="2"/>
  <c r="C72" i="2"/>
  <c r="C67" i="2"/>
  <c r="C64" i="2"/>
  <c r="C62" i="2"/>
  <c r="C61" i="2"/>
  <c r="C60" i="2"/>
  <c r="C59" i="2"/>
  <c r="C56" i="2"/>
  <c r="C50" i="2"/>
  <c r="D46" i="2"/>
  <c r="D47" i="2" s="1"/>
  <c r="D45" i="2"/>
  <c r="C42" i="2"/>
  <c r="C41" i="2"/>
  <c r="C40" i="2"/>
  <c r="D28" i="2"/>
  <c r="C28" i="2"/>
  <c r="B28" i="2"/>
  <c r="D27" i="2"/>
  <c r="E27" i="2" s="1"/>
  <c r="C27" i="2"/>
  <c r="B27" i="2"/>
  <c r="D26" i="2"/>
  <c r="C26" i="2"/>
  <c r="E26" i="2" s="1"/>
  <c r="B26" i="2"/>
  <c r="D25" i="2"/>
  <c r="C25" i="2"/>
  <c r="B25" i="2"/>
  <c r="F19" i="2"/>
  <c r="F18" i="2"/>
  <c r="F17" i="2"/>
  <c r="F16" i="2"/>
  <c r="F15" i="2"/>
  <c r="E54" i="1"/>
  <c r="E53" i="1"/>
  <c r="E52" i="1"/>
  <c r="E51" i="1"/>
  <c r="E50" i="1"/>
  <c r="E49" i="1"/>
  <c r="E48" i="1"/>
  <c r="F47" i="1"/>
  <c r="E47" i="1"/>
  <c r="F46" i="1"/>
  <c r="E46" i="1"/>
  <c r="C40" i="1"/>
  <c r="D40" i="1" s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C25" i="1"/>
  <c r="B25" i="1"/>
  <c r="F16" i="1"/>
  <c r="F15" i="1"/>
  <c r="C10" i="1"/>
  <c r="C9" i="1"/>
  <c r="C8" i="1"/>
  <c r="C7" i="1"/>
  <c r="C6" i="1"/>
  <c r="G15" i="1" s="1"/>
  <c r="C61" i="4"/>
  <c r="K47" i="4"/>
  <c r="C47" i="4"/>
  <c r="D47" i="4" s="1"/>
  <c r="K46" i="4"/>
  <c r="C46" i="4"/>
  <c r="D46" i="4" s="1"/>
  <c r="K45" i="4"/>
  <c r="C45" i="4"/>
  <c r="K44" i="4"/>
  <c r="C44" i="4"/>
  <c r="D44" i="4" s="1"/>
  <c r="K43" i="4"/>
  <c r="C43" i="4"/>
  <c r="K42" i="4"/>
  <c r="C42" i="4"/>
  <c r="K41" i="4"/>
  <c r="C41" i="4"/>
  <c r="D41" i="4" s="1"/>
  <c r="K40" i="4"/>
  <c r="C40" i="4"/>
  <c r="D40" i="4" s="1"/>
  <c r="K39" i="4"/>
  <c r="C39" i="4"/>
  <c r="K38" i="4"/>
  <c r="C38" i="4"/>
  <c r="K37" i="4"/>
  <c r="C37" i="4"/>
  <c r="D37" i="4" s="1"/>
  <c r="K36" i="4"/>
  <c r="C36" i="4"/>
  <c r="D36" i="4" s="1"/>
  <c r="K35" i="4"/>
  <c r="C35" i="4"/>
  <c r="K34" i="4"/>
  <c r="C34" i="4"/>
  <c r="K33" i="4"/>
  <c r="C33" i="4"/>
  <c r="K32" i="4"/>
  <c r="C32" i="4"/>
  <c r="K31" i="4"/>
  <c r="C31" i="4"/>
  <c r="D31" i="4" s="1"/>
  <c r="K30" i="4"/>
  <c r="H30" i="4"/>
  <c r="C30" i="4"/>
  <c r="D30" i="4" s="1"/>
  <c r="C18" i="4"/>
  <c r="C16" i="4"/>
  <c r="C15" i="4"/>
  <c r="E28" i="2" l="1"/>
  <c r="C17" i="4"/>
  <c r="C54" i="2"/>
  <c r="E25" i="2"/>
  <c r="F26" i="1"/>
  <c r="C62" i="4"/>
  <c r="F29" i="1"/>
  <c r="H26" i="1"/>
  <c r="I26" i="1" s="1"/>
  <c r="H15" i="1"/>
  <c r="K8" i="3"/>
  <c r="M8" i="3" s="1"/>
  <c r="F8" i="3"/>
  <c r="E8" i="3"/>
  <c r="I8" i="3" s="1"/>
  <c r="N8" i="3"/>
  <c r="D34" i="4"/>
  <c r="F28" i="1"/>
  <c r="D43" i="4"/>
  <c r="F9" i="3"/>
  <c r="E9" i="3"/>
  <c r="N9" i="3"/>
  <c r="K9" i="3"/>
  <c r="M9" i="3" s="1"/>
  <c r="F15" i="3"/>
  <c r="E15" i="3"/>
  <c r="N15" i="3"/>
  <c r="K15" i="3"/>
  <c r="M15" i="3" s="1"/>
  <c r="D39" i="4"/>
  <c r="K12" i="3"/>
  <c r="M12" i="3" s="1"/>
  <c r="F12" i="3"/>
  <c r="E12" i="3"/>
  <c r="I12" i="3" s="1"/>
  <c r="N12" i="3"/>
  <c r="D33" i="4"/>
  <c r="I30" i="4"/>
  <c r="C52" i="4"/>
  <c r="G17" i="1"/>
  <c r="H28" i="1" s="1"/>
  <c r="I28" i="1" s="1"/>
  <c r="E14" i="1"/>
  <c r="G14" i="1" s="1"/>
  <c r="F27" i="1"/>
  <c r="C53" i="4"/>
  <c r="K10" i="3"/>
  <c r="M10" i="3" s="1"/>
  <c r="F10" i="3"/>
  <c r="E10" i="3"/>
  <c r="I10" i="3" s="1"/>
  <c r="N10" i="3"/>
  <c r="D35" i="4"/>
  <c r="F18" i="1"/>
  <c r="F7" i="3"/>
  <c r="E7" i="3"/>
  <c r="N7" i="3"/>
  <c r="K7" i="3"/>
  <c r="M7" i="3" s="1"/>
  <c r="F17" i="3"/>
  <c r="E17" i="3"/>
  <c r="N17" i="3"/>
  <c r="K17" i="3"/>
  <c r="M17" i="3" s="1"/>
  <c r="K16" i="3"/>
  <c r="M16" i="3" s="1"/>
  <c r="F16" i="3"/>
  <c r="E16" i="3"/>
  <c r="N16" i="3"/>
  <c r="I16" i="3"/>
  <c r="D45" i="4"/>
  <c r="F48" i="1"/>
  <c r="F49" i="1"/>
  <c r="F50" i="1"/>
  <c r="F51" i="1"/>
  <c r="F52" i="1"/>
  <c r="F53" i="1"/>
  <c r="G18" i="1"/>
  <c r="H29" i="1" s="1"/>
  <c r="I29" i="1" s="1"/>
  <c r="K14" i="3"/>
  <c r="M14" i="3" s="1"/>
  <c r="F14" i="3"/>
  <c r="E14" i="3"/>
  <c r="I14" i="3" s="1"/>
  <c r="N14" i="3"/>
  <c r="K6" i="3"/>
  <c r="M6" i="3" s="1"/>
  <c r="F6" i="3"/>
  <c r="E6" i="3"/>
  <c r="H6" i="3" s="1"/>
  <c r="N6" i="3"/>
  <c r="D38" i="4"/>
  <c r="G16" i="1"/>
  <c r="H27" i="1" s="1"/>
  <c r="I27" i="1" s="1"/>
  <c r="F13" i="3"/>
  <c r="E13" i="3"/>
  <c r="N13" i="3"/>
  <c r="K13" i="3"/>
  <c r="M13" i="3" s="1"/>
  <c r="D32" i="4"/>
  <c r="F14" i="1"/>
  <c r="F17" i="1"/>
  <c r="C57" i="2"/>
  <c r="F11" i="3"/>
  <c r="E11" i="3"/>
  <c r="N11" i="3"/>
  <c r="K11" i="3"/>
  <c r="M11" i="3" s="1"/>
  <c r="C51" i="2"/>
  <c r="C65" i="2"/>
  <c r="C53" i="2"/>
  <c r="C66" i="2"/>
  <c r="D42" i="4"/>
  <c r="C68" i="2"/>
  <c r="H16" i="1" l="1"/>
  <c r="P17" i="3"/>
  <c r="Q17" i="3" s="1"/>
  <c r="O17" i="3"/>
  <c r="I6" i="3"/>
  <c r="P10" i="3"/>
  <c r="Q10" i="3" s="1"/>
  <c r="O10" i="3"/>
  <c r="J15" i="3"/>
  <c r="I15" i="3"/>
  <c r="H15" i="3"/>
  <c r="J17" i="3"/>
  <c r="I17" i="3"/>
  <c r="H17" i="3"/>
  <c r="C51" i="1"/>
  <c r="C52" i="1"/>
  <c r="C53" i="1"/>
  <c r="C54" i="1"/>
  <c r="C46" i="1"/>
  <c r="C47" i="1"/>
  <c r="C48" i="1"/>
  <c r="C49" i="1"/>
  <c r="C50" i="1"/>
  <c r="C21" i="4"/>
  <c r="D25" i="1"/>
  <c r="F25" i="1" s="1"/>
  <c r="F30" i="1" s="1"/>
  <c r="P12" i="3"/>
  <c r="Q12" i="3" s="1"/>
  <c r="O12" i="3"/>
  <c r="J12" i="3"/>
  <c r="H12" i="3"/>
  <c r="P6" i="3"/>
  <c r="Q6" i="3" s="1"/>
  <c r="O6" i="3"/>
  <c r="P9" i="3"/>
  <c r="Q9" i="3" s="1"/>
  <c r="O9" i="3"/>
  <c r="P16" i="3"/>
  <c r="Q16" i="3" s="1"/>
  <c r="O16" i="3"/>
  <c r="J10" i="3"/>
  <c r="H10" i="3"/>
  <c r="P8" i="3"/>
  <c r="Q8" i="3" s="1"/>
  <c r="O8" i="3"/>
  <c r="J16" i="3"/>
  <c r="H16" i="3"/>
  <c r="J7" i="3"/>
  <c r="I7" i="3"/>
  <c r="H7" i="3"/>
  <c r="P14" i="3"/>
  <c r="Q14" i="3" s="1"/>
  <c r="O14" i="3"/>
  <c r="H18" i="1"/>
  <c r="P7" i="3"/>
  <c r="Q7" i="3" s="1"/>
  <c r="O7" i="3"/>
  <c r="J9" i="3"/>
  <c r="I9" i="3"/>
  <c r="H9" i="3"/>
  <c r="J8" i="3"/>
  <c r="H8" i="3"/>
  <c r="P11" i="3"/>
  <c r="Q11" i="3" s="1"/>
  <c r="O11" i="3"/>
  <c r="P13" i="3"/>
  <c r="Q13" i="3" s="1"/>
  <c r="O13" i="3"/>
  <c r="J14" i="3"/>
  <c r="H14" i="3"/>
  <c r="J11" i="3"/>
  <c r="I11" i="3"/>
  <c r="H11" i="3"/>
  <c r="H17" i="1"/>
  <c r="J13" i="3"/>
  <c r="I13" i="3"/>
  <c r="H13" i="3"/>
  <c r="P15" i="3"/>
  <c r="Q15" i="3" s="1"/>
  <c r="O15" i="3"/>
  <c r="D48" i="1" l="1"/>
  <c r="G48" i="1"/>
  <c r="H48" i="1" s="1"/>
  <c r="D47" i="1"/>
  <c r="G47" i="1"/>
  <c r="H47" i="1" s="1"/>
  <c r="D49" i="1"/>
  <c r="G49" i="1"/>
  <c r="H49" i="1" s="1"/>
  <c r="I51" i="1"/>
  <c r="H25" i="1"/>
  <c r="I25" i="1" s="1"/>
  <c r="I30" i="1" s="1"/>
  <c r="J30" i="1" s="1"/>
  <c r="I52" i="1"/>
  <c r="I53" i="1"/>
  <c r="I54" i="1"/>
  <c r="I50" i="1"/>
  <c r="I47" i="1"/>
  <c r="I49" i="1"/>
  <c r="I46" i="1"/>
  <c r="H14" i="1"/>
  <c r="I48" i="1"/>
  <c r="D53" i="1"/>
  <c r="G53" i="1"/>
  <c r="H53" i="1" s="1"/>
  <c r="G30" i="1"/>
  <c r="C36" i="1"/>
  <c r="C35" i="1"/>
  <c r="C34" i="1"/>
  <c r="C41" i="1"/>
  <c r="C33" i="1"/>
  <c r="C38" i="1"/>
  <c r="C37" i="1"/>
  <c r="D52" i="1"/>
  <c r="G52" i="1"/>
  <c r="H52" i="1" s="1"/>
  <c r="D46" i="1"/>
  <c r="G46" i="1"/>
  <c r="H46" i="1" s="1"/>
  <c r="D54" i="1"/>
  <c r="G54" i="1"/>
  <c r="H54" i="1" s="1"/>
  <c r="C25" i="4"/>
  <c r="C22" i="4"/>
  <c r="C23" i="4" s="1"/>
  <c r="C24" i="4"/>
  <c r="D51" i="1"/>
  <c r="G51" i="1"/>
  <c r="H51" i="1" s="1"/>
  <c r="D50" i="1"/>
  <c r="G50" i="1"/>
  <c r="H50" i="1" s="1"/>
  <c r="J53" i="1" l="1"/>
  <c r="K53" i="1"/>
  <c r="J52" i="1"/>
  <c r="K52" i="1"/>
  <c r="D36" i="1"/>
  <c r="D35" i="1"/>
  <c r="D34" i="1"/>
  <c r="D33" i="1"/>
  <c r="D37" i="1"/>
  <c r="D41" i="1"/>
  <c r="D38" i="1"/>
  <c r="J48" i="1"/>
  <c r="K48" i="1"/>
  <c r="J46" i="1"/>
  <c r="K46" i="1"/>
  <c r="F42" i="4"/>
  <c r="F36" i="4"/>
  <c r="F46" i="4"/>
  <c r="F40" i="4"/>
  <c r="F30" i="4"/>
  <c r="F37" i="4"/>
  <c r="F47" i="4"/>
  <c r="F41" i="4"/>
  <c r="F31" i="4"/>
  <c r="F43" i="4"/>
  <c r="F39" i="4"/>
  <c r="F34" i="4"/>
  <c r="F44" i="4"/>
  <c r="F38" i="4"/>
  <c r="F33" i="4"/>
  <c r="F45" i="4"/>
  <c r="F35" i="4"/>
  <c r="F32" i="4"/>
  <c r="J47" i="1"/>
  <c r="K47" i="1"/>
  <c r="K50" i="1"/>
  <c r="J50" i="1"/>
  <c r="K51" i="1"/>
  <c r="J51" i="1"/>
  <c r="C69" i="4"/>
  <c r="D69" i="4" s="1"/>
  <c r="E69" i="4" s="1"/>
  <c r="C26" i="4"/>
  <c r="E47" i="4"/>
  <c r="E41" i="4"/>
  <c r="E31" i="4"/>
  <c r="C67" i="4"/>
  <c r="D67" i="4" s="1"/>
  <c r="E67" i="4" s="1"/>
  <c r="C66" i="4"/>
  <c r="D66" i="4" s="1"/>
  <c r="E66" i="4" s="1"/>
  <c r="E36" i="4"/>
  <c r="E39" i="4"/>
  <c r="C65" i="4"/>
  <c r="D65" i="4" s="1"/>
  <c r="E65" i="4" s="1"/>
  <c r="E40" i="4"/>
  <c r="E30" i="4"/>
  <c r="C68" i="4"/>
  <c r="D68" i="4" s="1"/>
  <c r="E68" i="4" s="1"/>
  <c r="E37" i="4"/>
  <c r="E46" i="4"/>
  <c r="E38" i="4"/>
  <c r="E33" i="4"/>
  <c r="E43" i="4"/>
  <c r="E32" i="4"/>
  <c r="G32" i="4" s="1"/>
  <c r="E44" i="4"/>
  <c r="E34" i="4"/>
  <c r="E45" i="4"/>
  <c r="G45" i="4" s="1"/>
  <c r="E35" i="4"/>
  <c r="G35" i="4" s="1"/>
  <c r="E42" i="4"/>
  <c r="J49" i="1"/>
  <c r="K49" i="1"/>
  <c r="J54" i="1"/>
  <c r="K54" i="1"/>
  <c r="G31" i="4" l="1"/>
  <c r="G40" i="4"/>
  <c r="G43" i="4"/>
  <c r="G36" i="4"/>
  <c r="G38" i="4"/>
  <c r="G39" i="4"/>
  <c r="G44" i="4"/>
  <c r="G33" i="4"/>
  <c r="G41" i="4"/>
  <c r="G46" i="4"/>
  <c r="G34" i="4"/>
  <c r="C56" i="4"/>
  <c r="G42" i="4"/>
  <c r="G37" i="4"/>
  <c r="G47" i="4"/>
  <c r="C55" i="4"/>
  <c r="G30" i="4"/>
  <c r="C58" i="4" l="1"/>
  <c r="C57" i="4"/>
  <c r="C54" i="4"/>
  <c r="J30" i="4"/>
  <c r="H31" i="4" s="1"/>
  <c r="I31" i="4" l="1"/>
  <c r="J31" i="4" s="1"/>
  <c r="H32" i="4" s="1"/>
  <c r="I32" i="4" l="1"/>
  <c r="J32" i="4" s="1"/>
  <c r="H33" i="4" s="1"/>
  <c r="I33" i="4" l="1"/>
  <c r="J33" i="4" s="1"/>
  <c r="H34" i="4" s="1"/>
  <c r="I34" i="4" l="1"/>
  <c r="J34" i="4" s="1"/>
  <c r="H35" i="4" s="1"/>
  <c r="I35" i="4" l="1"/>
  <c r="J35" i="4" s="1"/>
  <c r="H36" i="4" s="1"/>
  <c r="I36" i="4" l="1"/>
  <c r="J36" i="4" s="1"/>
  <c r="H37" i="4" s="1"/>
  <c r="I37" i="4" l="1"/>
  <c r="J37" i="4" s="1"/>
  <c r="H38" i="4" s="1"/>
  <c r="I38" i="4" l="1"/>
  <c r="J38" i="4" s="1"/>
  <c r="H39" i="4" s="1"/>
  <c r="I39" i="4" l="1"/>
  <c r="J39" i="4" s="1"/>
  <c r="H40" i="4" s="1"/>
  <c r="I40" i="4" l="1"/>
  <c r="J40" i="4" s="1"/>
  <c r="H41" i="4" s="1"/>
  <c r="I41" i="4" l="1"/>
  <c r="J41" i="4" s="1"/>
  <c r="H42" i="4" s="1"/>
  <c r="I42" i="4" l="1"/>
  <c r="J42" i="4" s="1"/>
  <c r="H43" i="4" s="1"/>
  <c r="I43" i="4" l="1"/>
  <c r="J43" i="4" s="1"/>
  <c r="H44" i="4" s="1"/>
  <c r="I44" i="4" l="1"/>
  <c r="J44" i="4" s="1"/>
  <c r="H45" i="4" s="1"/>
  <c r="I45" i="4" l="1"/>
  <c r="J45" i="4" s="1"/>
  <c r="H46" i="4" s="1"/>
  <c r="I46" i="4" l="1"/>
  <c r="J46" i="4" s="1"/>
  <c r="H47" i="4" s="1"/>
  <c r="I47" i="4" l="1"/>
  <c r="J47" i="4" s="1"/>
  <c r="C51" i="4" l="1"/>
  <c r="C50" i="4"/>
  <c r="F65" i="4" l="1"/>
  <c r="F69" i="4"/>
  <c r="F66" i="4"/>
  <c r="F67" i="4"/>
  <c r="F68" i="4"/>
</calcChain>
</file>

<file path=xl/sharedStrings.xml><?xml version="1.0" encoding="utf-8"?>
<sst xmlns="http://schemas.openxmlformats.org/spreadsheetml/2006/main" count="418" uniqueCount="287">
  <si>
    <t>PIXI — Revenue Forecast  (Jul 2026 → Dec 2027)</t>
  </si>
  <si>
    <t>Forecasts a MIX of Essentials (£99) and Signature (£299) deals. Both priced on the adopted graduated model; set the Signature share of new deals to model the mix. Exit ARR flexes with the split — see Mix Sensitivity below.</t>
  </si>
  <si>
    <t>FORECAST ASSUMPTIONS  (blue = edit me)</t>
  </si>
  <si>
    <t>Starting MRR today (£/mo)</t>
  </si>
  <si>
    <t>← current recurring book; 0 = build from scratch</t>
  </si>
  <si>
    <t>New deals won — month 1 (Jul-26)</t>
  </si>
  <si>
    <t>← a deal = one account, 1..N hotels</t>
  </si>
  <si>
    <t>Monthly growth in new deals won</t>
  </si>
  <si>
    <t>← compounding ramp on deals won each month</t>
  </si>
  <si>
    <t>Avg hotels per new deal</t>
  </si>
  <si>
    <t>← drives the graduated group discount</t>
  </si>
  <si>
    <t>Signature share of new deals</t>
  </si>
  <si>
    <t>← THE MIX LEVER: % of new deals on Signature</t>
  </si>
  <si>
    <t>Share of new deals billed monthly</t>
  </si>
  <si>
    <t>← monthly billing = +15% vs annual-paid</t>
  </si>
  <si>
    <t>Monthly revenue churn</t>
  </si>
  <si>
    <t>← applied to the existing base each month</t>
  </si>
  <si>
    <t>TIER PRICING  (per hotel / mo, annual-paid — graduated group discount applies to both)</t>
  </si>
  <si>
    <t>Essentials anchor (hotel 1–3)</t>
  </si>
  <si>
    <t>← linked from Pricing Model</t>
  </si>
  <si>
    <t>Signature anchor (hotel 1–3)</t>
  </si>
  <si>
    <t>← Signature anchor (master lives on Graduated tab; edit it there)</t>
  </si>
  <si>
    <t>Signature vs Essentials multiple</t>
  </si>
  <si>
    <t>sanity check on the step-up</t>
  </si>
  <si>
    <t>Monthly-billing uplift</t>
  </si>
  <si>
    <t>DERIVED PER-DEAL ECONOMICS  (at avg hotels/deal, live from graduated model)</t>
  </si>
  <si>
    <t>Essentials — graduated total / deal / mo (annual)</t>
  </si>
  <si>
    <t>Essentials blended rate / hotel / mo</t>
  </si>
  <si>
    <t>Signature blended rate / hotel / mo</t>
  </si>
  <si>
    <t>Essentials MRR / deal (annual+monthly mix)</t>
  </si>
  <si>
    <t>Signature MRR / deal (annual+monthly mix)</t>
  </si>
  <si>
    <t>Blended MRR / new deal (at current mix)</t>
  </si>
  <si>
    <t>MONTHLY BUILD  (18 months · Jul-26 → Dec-27)</t>
  </si>
  <si>
    <t>Month</t>
  </si>
  <si>
    <t>New deals</t>
  </si>
  <si>
    <t>Sig deals</t>
  </si>
  <si>
    <t>New Ess MRR</t>
  </si>
  <si>
    <t>New Sig MRR</t>
  </si>
  <si>
    <t>Total New MRR</t>
  </si>
  <si>
    <t>Churn</t>
  </si>
  <si>
    <t>Ending MRR</t>
  </si>
  <si>
    <t>Decay→exit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</si>
  <si>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</si>
  <si>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</si>
  <si>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</si>
  <si>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</si>
  <si>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</si>
  <si>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</si>
  <si>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</si>
  <si>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</si>
  <si>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</si>
  <si>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</si>
  <si>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</si>
  <si>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</si>
  <si>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</si>
  <si>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</si>
  <si>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</si>
  <si>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</si>
  <si>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</si>
  <si>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</si>
  <si>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FORECAST SUMMARY</t>
  </si>
  <si>
    <t>Exit MRR — Dec-27</t>
  </si>
  <si>
    <t>Exit ARR — Dec-27</t>
  </si>
  <si>
    <t>Total new deals won (18 mo)</t>
  </si>
  <si>
    <t>Total hotels added (approx)</t>
  </si>
  <si>
    <t>Total new MRR booked (gross)</t>
  </si>
  <si>
    <t>Signature % of new MRR</t>
  </si>
  <si>
    <t>Blended ARPU / new deal (£/mo)</t>
  </si>
  <si>
    <t>MIX SENSITIVITY  —  exit ARR by Signature share of new deals</t>
  </si>
  <si>
    <t>Starting MRR decayed to exit (A)</t>
  </si>
  <si>
    <t>Deal-weighted decay factor (B)</t>
  </si>
  <si>
    <t>Exit MRR(mix) = A + [blended £/deal at that mix] × B  (ties out to the build above)</t>
  </si>
  <si>
    <t>Signature mix</t>
  </si>
  <si>
    <t>Blended £/deal/mo</t>
  </si>
  <si>
    <t>Exit MRR (Dec-27)</t>
  </si>
  <si>
    <t>Exit ARR (Dec-27)</t>
  </si>
  <si>
    <t>vs current ARR</t>
  </si>
  <si>
    <t>0% = all Essentials, 100% = all Signature. Current mix is set in C10. Note: because a Signature deal bills ~3x an Essentials deal, its share of MRR is far higher than its share of deals.</t>
  </si>
  <si>
    <t>PIXI — Graduated (Tax-Bracket) Pricing</t>
  </si>
  <si>
    <t>✓ PIXI's ADOPTED pricing model. First 3 hotels at full price; each higher bracket bills a lower MARGINAL rate (like income tax). Cliff-free — quote customers the blended rate + total.</t>
  </si>
  <si>
    <t>SHARED ASSUMPTIONS  (pulled live from 'Pricing Model')</t>
  </si>
  <si>
    <t>Base / hotel 1–3 (£/mo, annual-paid)</t>
  </si>
  <si>
    <t>Cost to serve / hotel / mo (£)</t>
  </si>
  <si>
    <t>Legacy benchmark / hotel / mo</t>
  </si>
  <si>
    <t>Margin floor — flag below</t>
  </si>
  <si>
    <t>GRADUATED BRACKETS  (marginal £/hotel — blue = edit; bracket 1 = full price)</t>
  </si>
  <si>
    <t>Bracket</t>
  </si>
  <si>
    <t>Hotels from</t>
  </si>
  <si>
    <t>Hotels to</t>
  </si>
  <si>
    <t>Marginal £/hotel/mo</t>
  </si>
  <si>
    <t>Marginal margin %</t>
  </si>
  <si>
    <t>Marginal margin = profit on each hotel IN that bracket. Blended margin (all hotels) is higher — see scenarios.</t>
  </si>
  <si>
    <t>QUOTE CALCULATOR</t>
  </si>
  <si>
    <t>Number of hotels in deal</t>
  </si>
  <si>
    <t>Range</t>
  </si>
  <si>
    <t>Marginal £</t>
  </si>
  <si>
    <t>Hotels in bracket</t>
  </si>
  <si>
    <t>Subtotal /mo</t>
  </si>
  <si>
    <t>Yearly</t>
  </si>
  <si>
    <t>Total / mo (annual-paid)</t>
  </si>
  <si>
    <t>DEAL ECONOMICS</t>
  </si>
  <si>
    <t>Blended price / hotel / mo</t>
  </si>
  <si>
    <t>Effective discount vs full price</t>
  </si>
  <si>
    <t>Annual contract value / yr</t>
  </si>
  <si>
    <t>Pay-monthly total / mo (+15%)</t>
  </si>
  <si>
    <t>Blended gross margin %</t>
  </si>
  <si>
    <t>Margin vs floor</t>
  </si>
  <si>
    <t>— COMPARISON —</t>
  </si>
  <si>
    <t>Whole-account total / mo (same deal)</t>
  </si>
  <si>
    <t>Graduated saves the customer</t>
  </si>
  <si>
    <t>Legacy total / mo (same deal)</t>
  </si>
  <si>
    <t>SCENARIOS — Graduated vs Whole-account vs Legacy</t>
  </si>
  <si>
    <t>Hotels</t>
  </si>
  <si>
    <t>Whole-acct /mo</t>
  </si>
  <si>
    <t>Legacy /mo</t>
  </si>
  <si>
    <t>Grad margin %</t>
  </si>
  <si>
    <t>Margin OK?</t>
  </si>
  <si>
    <t>PIXI — Merged Pricing Model</t>
  </si>
  <si>
    <t>REFERENCE / comparison only (whole-account discount). Adopted model is the Graduated tab. NOTE: this tab holds the shared assumptions (base, cost, uplift, benchmark, floor) that feed BOTH models — edit them here.</t>
  </si>
  <si>
    <t>GLOBAL ASSUMPTIONS  (blue = edit me)</t>
  </si>
  <si>
    <t>Base price / hotel / mo (billed annually)</t>
  </si>
  <si>
    <t>Single flat headline — the no-brainer entry, before group discount</t>
  </si>
  <si>
    <t>CAC per deal (£)</t>
  </si>
  <si>
    <t>One sales deal acquires the whole group</t>
  </si>
  <si>
    <t>Pay monthly = annual rate + 15%</t>
  </si>
  <si>
    <t>Current benchmark / hotel / mo (annual-paid)</t>
  </si>
  <si>
    <t>Legacy Small = £170/mo; Medium/Large climb to £425/£595 per hotel</t>
  </si>
  <si>
    <t>Hosting, verification &amp; content refresh — your marginal cost</t>
  </si>
  <si>
    <t>Gross-margin alarm — any rate below this gets flagged</t>
  </si>
  <si>
    <t>WHOLE-ACCOUNT VOLUME DISCOUNT  (1–3 full price · group discount from 4 · cliff-free)</t>
  </si>
  <si>
    <t>Band</t>
  </si>
  <si>
    <t>From (hotels)</t>
  </si>
  <si>
    <t>To (hotels)</t>
  </si>
  <si>
    <t>Discount %</t>
  </si>
  <si>
    <t>Annual-paid £/mo</t>
  </si>
  <si>
    <t>1–3 hotels pay full price; group discount begins at 4. Depth is capped to stay cliff-free (see Cliff Check). 51+ = bespoke.</t>
  </si>
  <si>
    <t>CLIFF CHECK  (does the annual-paid total ever FALL when a hotel is added?)</t>
  </si>
  <si>
    <t>Threshold (hotels)</t>
  </si>
  <si>
    <t>Total at N-1</t>
  </si>
  <si>
    <t>Total at N</t>
  </si>
  <si>
    <t>Status</t>
  </si>
  <si>
    <t>INCLUDED PER HOTEL  +  EXPANSION BLOCKS (Dash-style)</t>
  </si>
  <si>
    <t>Included storage / hotel (GB)</t>
  </si>
  <si>
    <t>Downloads</t>
  </si>
  <si>
    <t>Unlimited (fair use)</t>
  </si>
  <si>
    <t>Seats</t>
  </si>
  <si>
    <t>Unlimited</t>
  </si>
  <si>
    <t>Extra storage block (per 25GB, £/mo)</t>
  </si>
  <si>
    <t>Property film / video pack (£/mo)</t>
  </si>
  <si>
    <t>QUOTE CALCULATOR  (enter a deal → see economics)</t>
  </si>
  <si>
    <t>Applicable discount</t>
  </si>
  <si>
    <t>Annual-paid price / hotel / mo</t>
  </si>
  <si>
    <t>Base total / mo (annual-paid)</t>
  </si>
  <si>
    <t>OPTIONAL ADD-ON BLOCKS (whole account, flat £/mo)</t>
  </si>
  <si>
    <t>Extra storage blocks (qty)</t>
  </si>
  <si>
    <t>Video packs (qty)</t>
  </si>
  <si>
    <t>Add-on total (£/mo)</t>
  </si>
  <si>
    <t>Blended price / hotel / mo (annual-paid)</t>
  </si>
  <si>
    <t>— BILLED ANNUALLY —</t>
  </si>
  <si>
    <t>— PAY MONTHLY (+15%) —</t>
  </si>
  <si>
    <t>Price / hotel / mo</t>
  </si>
  <si>
    <t>Total / mo (monthly-billed)</t>
  </si>
  <si>
    <t>— MARGIN (base subscription, annual-paid) —</t>
  </si>
  <si>
    <t>Cost to serve / hotel / mo</t>
  </si>
  <si>
    <t>Gross profit / hotel / mo</t>
  </si>
  <si>
    <t>Gross margin %</t>
  </si>
  <si>
    <t>— VS LEGACY —</t>
  </si>
  <si>
    <t>Legacy annual cost / yr</t>
  </si>
  <si>
    <t>Annual saving vs legacy</t>
  </si>
  <si>
    <t>Saving vs legacy (%)</t>
  </si>
  <si>
    <t>CAC per hotel (£)</t>
  </si>
  <si>
    <t>Months to recover CAC</t>
  </si>
  <si>
    <t>BILLING OPTIONS  (single hotel at base, before group discount)</t>
  </si>
  <si>
    <t>Billing</t>
  </si>
  <si>
    <t>Per month</t>
  </si>
  <si>
    <t>Per year</t>
  </si>
  <si>
    <t>Pay annually</t>
  </si>
  <si>
    <t>Pay monthly (+15%)</t>
  </si>
  <si>
    <t>Group Scenarios — price, savings &amp; live gross margin</t>
  </si>
  <si>
    <t>Whole-account scenarios (reference). The adopted Graduated model's own scenarios &amp; comparison live on the 'Graduated Pricing' tab.</t>
  </si>
  <si>
    <t>Annual-paid /hotel /mo</t>
  </si>
  <si>
    <t>Annual contract value /yr</t>
  </si>
  <si>
    <t>Pay-monthly /hotel /mo</t>
  </si>
  <si>
    <t>Legacy annual /yr</t>
  </si>
  <si>
    <t>Annual saving /yr</t>
  </si>
  <si>
    <t>Saving %</t>
  </si>
  <si>
    <t>Rises?</t>
  </si>
  <si>
    <t>Floor</t>
  </si>
  <si>
    <t>Sig annual-paid /hotel /mo</t>
  </si>
  <si>
    <t>Sig ACV /yr</t>
  </si>
  <si>
    <t>Sig gross margin %</t>
  </si>
  <si>
    <t>Sig margin OK?</t>
  </si>
  <si>
    <t>—</t>
  </si>
  <si>
    <t>Model Logic, Assumptions &amp; Sources</t>
  </si>
  <si>
    <t>ADOPTED MODEL — GRADUATED (TAX-BRACKET) PRICING</t>
  </si>
  <si>
    <t>• PIXI prices per hotel using graduated brackets, like income tax. The first 3 hotels always pay the full £99;</t>
  </si>
  <si>
    <t xml:space="preserve">  each higher bracket (4–15, 16–30, 31–50, 51+) bills at a lower MARGINAL rate. An account's total is the sum of</t>
  </si>
  <si>
    <t xml:space="preserve">  its brackets, so it is cliff-free by construction — the total always rises as hotels are added.</t>
  </si>
  <si>
    <t>• Default marginal rates: £99 / £69 / £54 / £44 / £39 per hotel per bracket (all editable, blue, on the Graduated tab).</t>
  </si>
  <si>
    <t>HOW TO USE IT (engine vs pitch)</t>
  </si>
  <si>
    <t>• Graduated is the internal deal-desk ENGINE. Customers never need to see the brackets.</t>
  </si>
  <si>
    <t>• Quote them the blended per-hotel rate + the monthly/annual total, e.g. '20 hotels, £1,395/mo, ~£70/hotel'.</t>
  </si>
  <si>
    <t>• Pay monthly = annual-paid rate + 15%. Storage blocks &amp; video packs are near-pure margin on top.</t>
  </si>
  <si>
    <t>WHY GRADUATED (vs whole-account)</t>
  </si>
  <si>
    <t>• Protects margin on small groups — a 4–10 hotel deal keeps its first 3 hotels at full price instead of</t>
  </si>
  <si>
    <t xml:space="preserve">  discounting the whole account. Whole-account gave those hotels away.</t>
  </si>
  <si>
    <t>• Aggressive at scale without a cliff — a 50-hotel group is ~21% cheaper, a 100-hotel portfolio ~32% cheaper</t>
  </si>
  <si>
    <t xml:space="preserve">  than legacy, which is where you win against flat-fee DAMs. Whole-account had to cap discounts to avoid cliffs.</t>
  </si>
  <si>
    <t>• Trade-off: slightly higher price to small groups vs the whole-account alternative — but still far below legacy.</t>
  </si>
  <si>
    <t>GUARDRAILS</t>
  </si>
  <si>
    <t>• Margin floor (£20 cost/hotel): blended margin flags if it dips below 60%. Only 75+ hotel bespoke deals approach it.</t>
  </si>
  <si>
    <t>• Whole-account model retained on the 'Pricing Model' tab for comparison; that tab also holds the shared assumptions.</t>
  </si>
  <si>
    <t>• Revenue Forecast tab now models a MIX of Essentials (£99) and Signature (£299) deals, both priced on the graduated engine. Set the Signature share of new deals (C10) to model the split; the Mix Sensitivity table shows exit ARR from 0% to 100% Signature.</t>
  </si>
  <si>
    <t>SOURCES</t>
  </si>
  <si>
    <t>• PIXI live pricing — pixigroup.ai/pricing-plan (Small £200/mo, Medium £500, Large £700, Freemium for designers)</t>
  </si>
  <si>
    <t>• Dash — dash.app/pricing (flat account tiers by storage: £79 / £179 / £299 / £449; no distribution)</t>
  </si>
  <si>
    <t>• Asset Bank — assetbank.co.uk/pricing (closed DAM, flat account from £496/mo); internal PIXI Pricing Review 16 Jun 2026</t>
  </si>
  <si>
    <t>Colour key:  blue = input you edit   ·   black = formula   ·   green = pulled from another sheet</t>
  </si>
  <si>
    <t>*based on AWS costs</t>
  </si>
  <si>
    <t>Graduated per month</t>
  </si>
  <si>
    <t>Grad blended per hotel</t>
  </si>
  <si>
    <t>Opening MRR</t>
  </si>
  <si>
    <t>Enterprise</t>
  </si>
  <si>
    <t>Package</t>
  </si>
  <si>
    <t>2GB</t>
  </si>
  <si>
    <t>20GB</t>
  </si>
  <si>
    <t>100GB</t>
  </si>
  <si>
    <t>PIXI PLATFORM - FEATURE LIST</t>
  </si>
  <si>
    <t>=============================</t>
  </si>
  <si>
    <t>HOTEL FEATURES</t>
  </si>
  <si>
    <t>==============</t>
  </si>
  <si>
    <t>Folders - Create, rename, delete and organise media into custom folders</t>
  </si>
  <si>
    <t>Search &amp; sort - Search by keyword, sort by date/name/size, filter by type</t>
  </si>
  <si>
    <t>Publish / draft - Control which assets are visible to agents, bulk publish or unpublish</t>
  </si>
  <si>
    <t>Media metadata - View format, resolution, file size, upload date for each asset</t>
  </si>
  <si>
    <t>Bulk operations - Bulk update, move, delete, publish, unpublish assets in one go</t>
  </si>
  <si>
    <t>Usage restrictions - Tag media with usage rules (social only, print only, etc.) and custom restrictions</t>
  </si>
  <si>
    <t>Document folders - Organise documents into folders, same as media</t>
  </si>
  <si>
    <t>Internal Documents - Add documents that are not visible to Agents</t>
  </si>
  <si>
    <t>Attach to showcases - Add documents to showcases</t>
  </si>
  <si>
    <t>Showcase editor - Add/remove/reorder assets, set cover image, add description</t>
  </si>
  <si>
    <t>Share links - Generate shareable links with expiry dates and download permissions</t>
  </si>
  <si>
    <t>Manage links - View, copy, and manage all generated share links</t>
  </si>
  <si>
    <t>Online/offline toggle - Control whether a showcase is publicly visible</t>
  </si>
  <si>
    <t>Showcase analytics - Track views and engagement on each showcase</t>
  </si>
  <si>
    <t>Summary stats - See total downloads, total impressions</t>
  </si>
  <si>
    <t>Partner management - View interactions from agencies and visit their profiles</t>
  </si>
  <si>
    <t>Block/unblock agents - Control which agencies can access your property</t>
  </si>
  <si>
    <t>Export reports - Download CSV of your most engaged travel advisors</t>
  </si>
  <si>
    <t>View your best performing content</t>
  </si>
  <si>
    <t>Users / Seats</t>
  </si>
  <si>
    <t>Data Insights</t>
  </si>
  <si>
    <t>N/A</t>
  </si>
  <si>
    <t>Y</t>
  </si>
  <si>
    <t xml:space="preserve">N </t>
  </si>
  <si>
    <t>Additional Storage / 20GB blocks / month</t>
  </si>
  <si>
    <t>Limited</t>
  </si>
  <si>
    <t>Digital Asset Management</t>
  </si>
  <si>
    <t>AI - Built-in intelligence for your brand</t>
  </si>
  <si>
    <t>N</t>
  </si>
  <si>
    <t>Personalised (Showcases - Branded)</t>
  </si>
  <si>
    <t>Upload documents - Upload PDFs, brochures, factsheets, logos etc.</t>
  </si>
  <si>
    <t>Showcases - shareable live galleries</t>
  </si>
  <si>
    <t>Listed</t>
  </si>
  <si>
    <t>Basic</t>
  </si>
  <si>
    <t>Pro</t>
  </si>
  <si>
    <t>Pro marginal £</t>
  </si>
  <si>
    <t>Pro subtotal per month</t>
  </si>
  <si>
    <t>Pro /mo</t>
  </si>
  <si>
    <t>Pro blended /hotel</t>
  </si>
  <si>
    <t>Pro margin %</t>
  </si>
  <si>
    <t>Pro anchor (hotel 1–3) £/mo</t>
  </si>
  <si>
    <t>Pro marginal £/hotel/mo</t>
  </si>
  <si>
    <t xml:space="preserve">  — from Basic</t>
  </si>
  <si>
    <t xml:space="preserve">  — from Pro</t>
  </si>
  <si>
    <t xml:space="preserve">Analytics </t>
  </si>
  <si>
    <t xml:space="preserve">Distribution </t>
  </si>
  <si>
    <t xml:space="preserve">Limited </t>
  </si>
  <si>
    <t xml:space="preserve">Y </t>
  </si>
  <si>
    <t>Distribution to elite travel advisor network</t>
  </si>
  <si>
    <t xml:space="preserve">Searchable with intelligent search </t>
  </si>
  <si>
    <t xml:space="preserve">Featured exposure </t>
  </si>
  <si>
    <t>DAM ( Digital Asset Management )</t>
  </si>
  <si>
    <t>25GM</t>
  </si>
  <si>
    <t>100GM</t>
  </si>
  <si>
    <t xml:space="preserve">Unlimited </t>
  </si>
  <si>
    <t>Storage - the more you store and publish, the more exposure you receive to the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</si>
</sst>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£&quot;#,##0_);[Red]\(&quot;£&quot;#,##0\)"/>
    <numFmt numFmtId="164" formatCode="\£#,##0"/>
    <numFmt numFmtId="165" formatCode="0.0%"/>
    <numFmt numFmtId="166" formatCode="\£#,##0.00"/>
    <numFmt numFmtId="167" formatCode="0.0"/>
    <numFmt numFmtId="168" formatCode="0.0\x"/>
    <numFmt numFmtId="169" formatCode="0.000"/>
  </numFmts>
  <fonts count="34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b/>
      <i/>
      <sz val="9"/>
      <color rgb="FF006100"/>
      <name val="Arial"/>
      <family val="2"/>
      <charset val="1"/>
    </font>
    <font>
      <b/>
      <sz val="11"/>
      <color rgb="FFFFFFFF"/>
      <name val="Arial"/>
      <family val="2"/>
      <charset val="1"/>
    </font>
    <font>
      <sz val="11"/>
      <name val="Arial"/>
      <family val="2"/>
      <charset val="1"/>
    </font>
    <font>
      <sz val="11"/>
      <color rgb="FF0061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FF"/>
      <name val="Arial"/>
      <family val="2"/>
      <charset val="1"/>
    </font>
    <font>
      <i/>
      <sz val="9"/>
      <color rgb="FF777777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FF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006100"/>
      <name val="Arial"/>
      <family val="2"/>
      <charset val="1"/>
    </font>
    <font>
      <b/>
      <i/>
      <sz val="11"/>
      <color rgb="FF1F3A5F"/>
      <name val="Arial"/>
      <family val="2"/>
      <charset val="1"/>
    </font>
    <font>
      <i/>
      <sz val="9"/>
      <color rgb="FFFFFFFF"/>
      <name val="Arial"/>
      <family val="2"/>
      <charset val="1"/>
    </font>
    <font>
      <i/>
      <sz val="9"/>
      <color rgb="FF555555"/>
      <name val="Arial"/>
      <family val="2"/>
      <charset val="1"/>
    </font>
    <font>
      <b/>
      <sz val="11"/>
      <color rgb="FF008000"/>
      <name val="Arial"/>
      <family val="2"/>
      <charset val="1"/>
    </font>
    <font>
      <sz val="11"/>
      <color rgb="FF008000"/>
      <name val="Arial"/>
      <family val="2"/>
      <charset val="1"/>
    </font>
    <font>
      <b/>
      <sz val="16"/>
      <color rgb="FFFFFFFF"/>
      <name val="Arial"/>
      <family val="2"/>
    </font>
    <font>
      <sz val="9"/>
      <color rgb="FF555555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rgb="FF0000FF"/>
      <name val="Arial"/>
      <family val="2"/>
    </font>
    <font>
      <sz val="11"/>
      <color rgb="FF006100"/>
      <name val="Arial"/>
      <family val="2"/>
    </font>
    <font>
      <b/>
      <sz val="11"/>
      <color rgb="FF000000"/>
      <name val="Arial"/>
      <family val="2"/>
    </font>
    <font>
      <b/>
      <sz val="14"/>
      <color rgb="FF1F3A5F"/>
      <name val="Arial"/>
      <family val="2"/>
      <charset val="1"/>
    </font>
    <font>
      <b/>
      <sz val="11"/>
      <color rgb="FF1F3A5F"/>
      <name val="Arial"/>
      <family val="2"/>
      <charset val="1"/>
    </font>
    <font>
      <sz val="10"/>
      <color rgb="FF333333"/>
      <name val="Arial"/>
      <family val="2"/>
      <charset val="1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3A4A5E"/>
        <bgColor rgb="FF555555"/>
      </patternFill>
    </fill>
    <fill>
      <patternFill patternType="solid">
        <fgColor rgb="FFFFF3C4"/>
        <bgColor rgb="FFFFFF99"/>
      </patternFill>
    </fill>
    <fill>
      <patternFill patternType="solid">
        <fgColor rgb="FFC8A24B"/>
        <bgColor rgb="FF98B855"/>
      </patternFill>
    </fill>
    <fill>
      <patternFill patternType="solid">
        <fgColor rgb="FFEEF2F7"/>
        <bgColor rgb="FFE2EFDA"/>
      </patternFill>
    </fill>
    <fill>
      <patternFill patternType="solid">
        <fgColor rgb="FFE2EFDA"/>
        <bgColor rgb="FFD8EAD3"/>
      </patternFill>
    </fill>
    <fill>
      <patternFill patternType="solid">
        <fgColor rgb="FFD8EAD3"/>
        <bgColor rgb="FFE2EFDA"/>
      </patternFill>
    </fill>
    <fill>
      <patternFill patternType="solid">
        <fgColor rgb="FFC8A24B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/>
      <bottom/>
      <diagonal/>
    </border>
    <border>
      <left style="thin">
        <color rgb="FFBFBFBF"/>
      </left>
      <right style="thin">
        <color indexed="64"/>
      </right>
      <top style="thin">
        <color rgb="FFBFBFBF"/>
      </top>
      <bottom/>
      <diagonal/>
    </border>
    <border>
      <left style="thin">
        <color rgb="FFBFBFBF"/>
      </left>
      <right style="thin">
        <color indexed="64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3" borderId="0" xfId="0" applyFont="1" applyFill="1" applyAlignment="1">
      <alignment horizontal="left" vertical="center"/>
    </xf>
    <xf numFmtId="0" fontId="4" fillId="0" borderId="0" xfId="0" applyFont="1"/>
    <xf numFmtId="164" fontId="5" fillId="0" borderId="1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7" fillId="4" borderId="1" xfId="0" applyNumberFormat="1" applyFont="1" applyFill="1" applyBorder="1" applyAlignment="1">
      <alignment horizontal="right"/>
    </xf>
    <xf numFmtId="166" fontId="5" fillId="0" borderId="1" xfId="0" applyNumberFormat="1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6" fontId="7" fillId="4" borderId="1" xfId="0" applyNumberFormat="1" applyFont="1" applyFill="1" applyBorder="1" applyAlignment="1">
      <alignment horizontal="right"/>
    </xf>
    <xf numFmtId="0" fontId="9" fillId="0" borderId="0" xfId="0" applyFont="1"/>
    <xf numFmtId="1" fontId="10" fillId="5" borderId="1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center"/>
    </xf>
    <xf numFmtId="166" fontId="6" fillId="0" borderId="1" xfId="0" applyNumberFormat="1" applyFont="1" applyBorder="1" applyAlignment="1">
      <alignment horizontal="right"/>
    </xf>
    <xf numFmtId="1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 applyAlignment="1">
      <alignment horizontal="right"/>
    </xf>
    <xf numFmtId="164" fontId="11" fillId="6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65" fontId="6" fillId="6" borderId="1" xfId="0" applyNumberFormat="1" applyFont="1" applyFill="1" applyBorder="1" applyAlignment="1">
      <alignment horizontal="right"/>
    </xf>
    <xf numFmtId="0" fontId="12" fillId="0" borderId="0" xfId="0" applyFont="1"/>
    <xf numFmtId="164" fontId="12" fillId="5" borderId="1" xfId="0" applyNumberFormat="1" applyFont="1" applyFill="1" applyBorder="1" applyAlignment="1">
      <alignment horizontal="right"/>
    </xf>
    <xf numFmtId="164" fontId="6" fillId="6" borderId="1" xfId="0" applyNumberFormat="1" applyFont="1" applyFill="1" applyBorder="1" applyAlignment="1">
      <alignment horizontal="right"/>
    </xf>
    <xf numFmtId="165" fontId="6" fillId="7" borderId="1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right"/>
    </xf>
    <xf numFmtId="0" fontId="13" fillId="0" borderId="0" xfId="0" applyFont="1"/>
    <xf numFmtId="164" fontId="11" fillId="0" borderId="1" xfId="0" applyNumberFormat="1" applyFont="1" applyBorder="1" applyAlignment="1">
      <alignment horizontal="right"/>
    </xf>
    <xf numFmtId="0" fontId="6" fillId="0" borderId="0" xfId="0" applyFont="1"/>
    <xf numFmtId="164" fontId="7" fillId="4" borderId="2" xfId="0" applyNumberFormat="1" applyFont="1" applyFill="1" applyBorder="1" applyAlignment="1">
      <alignment horizontal="right"/>
    </xf>
    <xf numFmtId="3" fontId="7" fillId="4" borderId="2" xfId="0" applyNumberFormat="1" applyFont="1" applyFill="1" applyBorder="1" applyAlignment="1">
      <alignment horizontal="right"/>
    </xf>
    <xf numFmtId="165" fontId="7" fillId="4" borderId="2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right"/>
    </xf>
    <xf numFmtId="3" fontId="6" fillId="0" borderId="2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10" fillId="5" borderId="2" xfId="0" applyFont="1" applyFill="1" applyBorder="1" applyAlignment="1">
      <alignment horizontal="right"/>
    </xf>
    <xf numFmtId="165" fontId="6" fillId="6" borderId="2" xfId="0" applyNumberFormat="1" applyFont="1" applyFill="1" applyBorder="1" applyAlignment="1">
      <alignment horizontal="right"/>
    </xf>
    <xf numFmtId="166" fontId="6" fillId="6" borderId="2" xfId="0" applyNumberFormat="1" applyFont="1" applyFill="1" applyBorder="1" applyAlignment="1">
      <alignment horizontal="right"/>
    </xf>
    <xf numFmtId="164" fontId="6" fillId="6" borderId="2" xfId="0" applyNumberFormat="1" applyFont="1" applyFill="1" applyBorder="1" applyAlignment="1">
      <alignment horizontal="right"/>
    </xf>
    <xf numFmtId="164" fontId="9" fillId="6" borderId="2" xfId="0" applyNumberFormat="1" applyFont="1" applyFill="1" applyBorder="1" applyAlignment="1">
      <alignment horizontal="right"/>
    </xf>
    <xf numFmtId="165" fontId="9" fillId="6" borderId="2" xfId="0" applyNumberFormat="1" applyFont="1" applyFill="1" applyBorder="1" applyAlignment="1">
      <alignment horizontal="right"/>
    </xf>
    <xf numFmtId="166" fontId="9" fillId="6" borderId="2" xfId="0" applyNumberFormat="1" applyFont="1" applyFill="1" applyBorder="1" applyAlignment="1">
      <alignment horizontal="right"/>
    </xf>
    <xf numFmtId="0" fontId="16" fillId="0" borderId="0" xfId="0" applyFont="1"/>
    <xf numFmtId="164" fontId="9" fillId="5" borderId="2" xfId="0" applyNumberFormat="1" applyFont="1" applyFill="1" applyBorder="1" applyAlignment="1">
      <alignment horizontal="right"/>
    </xf>
    <xf numFmtId="165" fontId="9" fillId="8" borderId="2" xfId="0" applyNumberFormat="1" applyFont="1" applyFill="1" applyBorder="1" applyAlignment="1">
      <alignment horizontal="right"/>
    </xf>
    <xf numFmtId="0" fontId="9" fillId="6" borderId="2" xfId="0" applyFont="1" applyFill="1" applyBorder="1" applyAlignment="1">
      <alignment horizontal="right"/>
    </xf>
    <xf numFmtId="167" fontId="9" fillId="6" borderId="2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center"/>
    </xf>
    <xf numFmtId="0" fontId="6" fillId="0" borderId="2" xfId="0" applyFont="1" applyBorder="1"/>
    <xf numFmtId="166" fontId="9" fillId="5" borderId="2" xfId="0" applyNumberFormat="1" applyFont="1" applyFill="1" applyBorder="1" applyAlignment="1">
      <alignment horizontal="right"/>
    </xf>
    <xf numFmtId="166" fontId="9" fillId="0" borderId="2" xfId="0" applyNumberFormat="1" applyFont="1" applyBorder="1" applyAlignment="1">
      <alignment horizontal="right"/>
    </xf>
    <xf numFmtId="164" fontId="9" fillId="0" borderId="2" xfId="0" applyNumberFormat="1" applyFont="1" applyBorder="1" applyAlignment="1">
      <alignment horizontal="right"/>
    </xf>
    <xf numFmtId="165" fontId="17" fillId="0" borderId="2" xfId="0" applyNumberFormat="1" applyFont="1" applyBorder="1" applyAlignment="1">
      <alignment horizontal="right"/>
    </xf>
    <xf numFmtId="166" fontId="17" fillId="0" borderId="2" xfId="0" applyNumberFormat="1" applyFont="1" applyBorder="1" applyAlignment="1">
      <alignment horizontal="right"/>
    </xf>
    <xf numFmtId="164" fontId="16" fillId="0" borderId="2" xfId="0" applyNumberFormat="1" applyFont="1" applyBorder="1" applyAlignment="1">
      <alignment horizontal="right"/>
    </xf>
    <xf numFmtId="164" fontId="17" fillId="0" borderId="2" xfId="0" applyNumberFormat="1" applyFont="1" applyBorder="1" applyAlignment="1">
      <alignment horizontal="right"/>
    </xf>
    <xf numFmtId="165" fontId="6" fillId="0" borderId="2" xfId="0" applyNumberFormat="1" applyFont="1" applyBorder="1" applyAlignment="1">
      <alignment horizontal="right"/>
    </xf>
    <xf numFmtId="165" fontId="16" fillId="0" borderId="2" xfId="0" applyNumberFormat="1" applyFont="1" applyBorder="1" applyAlignment="1">
      <alignment horizontal="right"/>
    </xf>
    <xf numFmtId="0" fontId="19" fillId="0" borderId="0" xfId="0" applyFont="1" applyAlignment="1">
      <alignment horizontal="left" vertical="center"/>
    </xf>
    <xf numFmtId="0" fontId="20" fillId="3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22" fillId="5" borderId="0" xfId="0" applyNumberFormat="1" applyFont="1" applyFill="1" applyAlignment="1">
      <alignment horizontal="right" vertical="center"/>
    </xf>
    <xf numFmtId="3" fontId="22" fillId="5" borderId="0" xfId="0" applyNumberFormat="1" applyFont="1" applyFill="1" applyAlignment="1">
      <alignment horizontal="right" vertical="center"/>
    </xf>
    <xf numFmtId="165" fontId="22" fillId="5" borderId="0" xfId="0" applyNumberFormat="1" applyFont="1" applyFill="1" applyAlignment="1">
      <alignment horizontal="right" vertical="center"/>
    </xf>
    <xf numFmtId="164" fontId="23" fillId="0" borderId="0" xfId="0" applyNumberFormat="1" applyFont="1" applyAlignment="1">
      <alignment horizontal="right" vertical="center"/>
    </xf>
    <xf numFmtId="168" fontId="21" fillId="0" borderId="0" xfId="0" applyNumberFormat="1" applyFont="1" applyAlignment="1">
      <alignment horizontal="right" vertical="center"/>
    </xf>
    <xf numFmtId="165" fontId="23" fillId="0" borderId="0" xfId="0" applyNumberFormat="1" applyFont="1" applyAlignment="1">
      <alignment horizontal="right" vertical="center"/>
    </xf>
    <xf numFmtId="164" fontId="21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right" vertical="center"/>
    </xf>
    <xf numFmtId="0" fontId="20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3" fontId="21" fillId="0" borderId="0" xfId="0" applyNumberFormat="1" applyFont="1" applyAlignment="1">
      <alignment horizontal="right" vertical="center"/>
    </xf>
    <xf numFmtId="167" fontId="21" fillId="0" borderId="0" xfId="0" applyNumberFormat="1" applyFont="1" applyAlignment="1">
      <alignment horizontal="right" vertical="center"/>
    </xf>
    <xf numFmtId="169" fontId="21" fillId="0" borderId="0" xfId="0" applyNumberFormat="1" applyFont="1" applyAlignment="1">
      <alignment horizontal="right" vertical="center"/>
    </xf>
    <xf numFmtId="165" fontId="21" fillId="0" borderId="0" xfId="0" applyNumberFormat="1" applyFont="1" applyAlignment="1">
      <alignment horizontal="right" vertical="center"/>
    </xf>
    <xf numFmtId="165" fontId="21" fillId="0" borderId="0" xfId="0" applyNumberFormat="1" applyFont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27" fillId="0" borderId="0" xfId="0" applyFont="1"/>
    <xf numFmtId="164" fontId="28" fillId="9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center"/>
    </xf>
    <xf numFmtId="0" fontId="29" fillId="0" borderId="0" xfId="0" applyFont="1"/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164" fontId="11" fillId="6" borderId="3" xfId="0" applyNumberFormat="1" applyFont="1" applyFill="1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10" borderId="0" xfId="0" applyFill="1"/>
    <xf numFmtId="0" fontId="30" fillId="10" borderId="8" xfId="0" applyFont="1" applyFill="1" applyBorder="1"/>
    <xf numFmtId="0" fontId="0" fillId="10" borderId="8" xfId="0" applyFill="1" applyBorder="1"/>
    <xf numFmtId="0" fontId="0" fillId="10" borderId="8" xfId="0" applyFill="1" applyBorder="1" applyAlignment="1">
      <alignment horizontal="center"/>
    </xf>
    <xf numFmtId="6" fontId="0" fillId="10" borderId="8" xfId="0" applyNumberFormat="1" applyFill="1" applyBorder="1" applyAlignment="1">
      <alignment horizontal="center"/>
    </xf>
    <xf numFmtId="0" fontId="32" fillId="12" borderId="8" xfId="0" applyFont="1" applyFill="1" applyBorder="1" applyAlignment="1">
      <alignment horizontal="center"/>
    </xf>
    <xf numFmtId="0" fontId="32" fillId="12" borderId="9" xfId="0" applyFont="1" applyFill="1" applyBorder="1" applyAlignment="1">
      <alignment horizontal="center"/>
    </xf>
    <xf numFmtId="0" fontId="30" fillId="10" borderId="0" xfId="0" applyFont="1" applyFill="1"/>
    <xf numFmtId="0" fontId="0" fillId="10" borderId="0" xfId="0" applyFill="1" applyAlignment="1">
      <alignment horizontal="center"/>
    </xf>
    <xf numFmtId="0" fontId="33" fillId="10" borderId="8" xfId="0" applyFont="1" applyFill="1" applyBorder="1"/>
    <xf numFmtId="0" fontId="3" fillId="3" borderId="7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8" fillId="0" borderId="0" xfId="0" applyFont="1"/>
    <xf numFmtId="0" fontId="31" fillId="11" borderId="10" xfId="0" applyFont="1" applyFill="1" applyBorder="1" applyAlignment="1">
      <alignment horizontal="center"/>
    </xf>
    <xf numFmtId="0" fontId="31" fillId="11" borderId="11" xfId="0" applyFont="1" applyFill="1" applyBorder="1" applyAlignment="1">
      <alignment horizontal="center"/>
    </xf>
    <xf numFmtId="0" fontId="3" fillId="3" borderId="0" xfId="0" applyFont="1" applyFill="1"/>
    <xf numFmtId="0" fontId="15" fillId="0" borderId="0" xfId="0" applyFont="1"/>
    <xf numFmtId="0" fontId="14" fillId="2" borderId="0" xfId="0" applyFont="1" applyFill="1" applyAlignment="1">
      <alignment horizontal="left" indent="1"/>
    </xf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vertical="center" indent="1"/>
    </xf>
    <xf numFmtId="0" fontId="19" fillId="0" borderId="0" xfId="0" applyFont="1" applyAlignment="1">
      <alignment horizontal="left" vertical="center"/>
    </xf>
    <xf numFmtId="0" fontId="18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3C4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D8EAD3"/>
      <rgbColor rgb="FFFFFF99"/>
      <rgbColor rgb="FFB7C0CC"/>
      <rgbColor rgb="FFFF99CC"/>
      <rgbColor rgb="FFCC99FF"/>
      <rgbColor rgb="FFFFCC99"/>
      <rgbColor rgb="FF4A7EBB"/>
      <rgbColor rgb="FF33CCCC"/>
      <rgbColor rgb="FF98B855"/>
      <rgbColor rgb="FFFFCC00"/>
      <rgbColor rgb="FFC8A24B"/>
      <rgbColor rgb="FFFF6600"/>
      <rgbColor rgb="FF777777"/>
      <rgbColor rgb="FFB3B3B3"/>
      <rgbColor rgb="FF1F3A5F"/>
      <rgbColor rgb="FF4F81BD"/>
      <rgbColor rgb="FF006100"/>
      <rgbColor rgb="FF555555"/>
      <rgbColor rgb="FF993300"/>
      <rgbColor rgb="FFC0504D"/>
      <rgbColor rgb="FF3A4A5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Blended £/hotel — Graduated vs Whole-account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'Graduated Pricing'!$D$45</c:f>
              <c:strCache>
                <c:ptCount val="1"/>
                <c:pt idx="0">
                  <c:v>Grad blended per hotel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'Graduated Pricing'!$B$46:$B$54</c:f>
              <c:numCache>
                <c:formatCode>0</c:formatCode>
                <c:ptCount val="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</c:numCache>
            </c:numRef>
          </c:cat>
          <c:val>
            <c:numRef>
              <c:f>'Graduated Pricing'!$D$46:$D$54</c:f>
              <c:numCache>
                <c:formatCode>\£#,##0.00</c:formatCode>
                <c:ptCount val="9"/>
                <c:pt idx="0">
                  <c:v>99</c:v>
                </c:pt>
                <c:pt idx="1">
                  <c:v>99</c:v>
                </c:pt>
                <c:pt idx="2">
                  <c:v>91</c:v>
                </c:pt>
                <c:pt idx="3">
                  <c:v>85</c:v>
                </c:pt>
                <c:pt idx="4">
                  <c:v>79.5</c:v>
                </c:pt>
                <c:pt idx="5">
                  <c:v>76</c:v>
                </c:pt>
                <c:pt idx="6">
                  <c:v>69.2</c:v>
                </c:pt>
                <c:pt idx="7">
                  <c:v>62.466666666666669</c:v>
                </c:pt>
                <c:pt idx="8">
                  <c:v>59.1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DC-5A4C-A75E-25DBBCFF0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4500129"/>
        <c:axId val="32003217"/>
      </c:lineChart>
      <c:catAx>
        <c:axId val="945001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GB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Hotels in account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2003217"/>
        <c:crosses val="autoZero"/>
        <c:auto val="1"/>
        <c:lblAlgn val="ctr"/>
        <c:lblOffset val="100"/>
        <c:noMultiLvlLbl val="0"/>
      </c:catAx>
      <c:valAx>
        <c:axId val="320032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450012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Total /mo — Graduated vs Whole-account vs Legacy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'Graduated Pricing'!$C$45</c:f>
              <c:strCache>
                <c:ptCount val="1"/>
                <c:pt idx="0">
                  <c:v>Graduated per month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'Graduated Pricing'!$B$46:$B$54</c:f>
              <c:numCache>
                <c:formatCode>0</c:formatCode>
                <c:ptCount val="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</c:numCache>
            </c:numRef>
          </c:cat>
          <c:val>
            <c:numRef>
              <c:f>'Graduated Pricing'!$C$46:$C$54</c:f>
              <c:numCache>
                <c:formatCode>\£#,##0</c:formatCode>
                <c:ptCount val="9"/>
                <c:pt idx="0">
                  <c:v>99</c:v>
                </c:pt>
                <c:pt idx="1">
                  <c:v>297</c:v>
                </c:pt>
                <c:pt idx="2">
                  <c:v>455</c:v>
                </c:pt>
                <c:pt idx="3">
                  <c:v>850</c:v>
                </c:pt>
                <c:pt idx="4">
                  <c:v>1590</c:v>
                </c:pt>
                <c:pt idx="5">
                  <c:v>2280</c:v>
                </c:pt>
                <c:pt idx="6">
                  <c:v>3460</c:v>
                </c:pt>
                <c:pt idx="7">
                  <c:v>4685</c:v>
                </c:pt>
                <c:pt idx="8">
                  <c:v>5910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E9-8E45-9DFE-A28B4C808FA9}"/>
            </c:ext>
          </c:extLst>
        </c:ser>
        <c:ser>
          <c:idx val="1"/>
          <c:order val="1"/>
          <c:tx>
            <c:strRef>
              <c:f>'Graduated Pricing'!$E$45</c:f>
              <c:strCache>
                <c:ptCount val="1"/>
                <c:pt idx="0">
                  <c:v>Whole-acct /mo</c:v>
                </c:pt>
              </c:strCache>
            </c:strRef>
          </c:tx>
          <c:spPr>
            <a:ln w="284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'Graduated Pricing'!$B$46:$B$54</c:f>
              <c:numCache>
                <c:formatCode>0</c:formatCode>
                <c:ptCount val="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</c:numCache>
            </c:numRef>
          </c:cat>
          <c:val>
            <c:numRef>
              <c:f>'Graduated Pricing'!$E$46:$E$54</c:f>
              <c:numCache>
                <c:formatCode>\£#,##0</c:formatCode>
                <c:ptCount val="9"/>
                <c:pt idx="0">
                  <c:v>99</c:v>
                </c:pt>
                <c:pt idx="1">
                  <c:v>297</c:v>
                </c:pt>
                <c:pt idx="2">
                  <c:v>386.1</c:v>
                </c:pt>
                <c:pt idx="3">
                  <c:v>772.2</c:v>
                </c:pt>
                <c:pt idx="4">
                  <c:v>1465.2</c:v>
                </c:pt>
                <c:pt idx="5">
                  <c:v>2197.8000000000002</c:v>
                </c:pt>
                <c:pt idx="6">
                  <c:v>3564</c:v>
                </c:pt>
                <c:pt idx="7">
                  <c:v>5271.75</c:v>
                </c:pt>
                <c:pt idx="8">
                  <c:v>7029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3E9-8E45-9DFE-A28B4C808FA9}"/>
            </c:ext>
          </c:extLst>
        </c:ser>
        <c:ser>
          <c:idx val="2"/>
          <c:order val="2"/>
          <c:tx>
            <c:strRef>
              <c:f>'Graduated Pricing'!$F$45</c:f>
              <c:strCache>
                <c:ptCount val="1"/>
                <c:pt idx="0">
                  <c:v>Legacy /mo</c:v>
                </c:pt>
              </c:strCache>
            </c:strRef>
          </c:tx>
          <c:spPr>
            <a:ln w="28440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'Graduated Pricing'!$B$46:$B$54</c:f>
              <c:numCache>
                <c:formatCode>0</c:formatCode>
                <c:ptCount val="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</c:numCache>
            </c:numRef>
          </c:cat>
          <c:val>
            <c:numRef>
              <c:f>'Graduated Pricing'!$F$46:$F$54</c:f>
              <c:numCache>
                <c:formatCode>\£#,##0</c:formatCode>
                <c:ptCount val="9"/>
                <c:pt idx="0">
                  <c:v>170</c:v>
                </c:pt>
                <c:pt idx="1">
                  <c:v>510</c:v>
                </c:pt>
                <c:pt idx="2">
                  <c:v>850</c:v>
                </c:pt>
                <c:pt idx="3">
                  <c:v>1700</c:v>
                </c:pt>
                <c:pt idx="4">
                  <c:v>3400</c:v>
                </c:pt>
                <c:pt idx="5">
                  <c:v>5100</c:v>
                </c:pt>
                <c:pt idx="6">
                  <c:v>8500</c:v>
                </c:pt>
                <c:pt idx="7">
                  <c:v>12750</c:v>
                </c:pt>
                <c:pt idx="8">
                  <c:v>17000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3E9-8E45-9DFE-A28B4C808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20258557"/>
        <c:axId val="21494066"/>
      </c:lineChart>
      <c:catAx>
        <c:axId val="202585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GB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Hotels in account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1494066"/>
        <c:crosses val="autoZero"/>
        <c:auto val="1"/>
        <c:lblAlgn val="ctr"/>
        <c:lblOffset val="100"/>
        <c:noMultiLvlLbl val="0"/>
      </c:catAx>
      <c:valAx>
        <c:axId val="214940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025855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Annual-paid price per hotel (£/mo) vs group size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'Group Scenarios'!$D$5</c:f>
              <c:strCache>
                <c:ptCount val="1"/>
                <c:pt idx="0">
                  <c:v>Annual-paid /hotel /mo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Scenarios'!$B$6:$B$17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</c:numCache>
            </c:numRef>
          </c:cat>
          <c:val>
            <c:numRef>
              <c:f>'Group Scenarios'!$D$6:$D$17</c:f>
              <c:numCache>
                <c:formatCode>\£#,##0.00</c:formatCode>
                <c:ptCount val="12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77.22</c:v>
                </c:pt>
                <c:pt idx="4">
                  <c:v>77.22</c:v>
                </c:pt>
                <c:pt idx="5">
                  <c:v>77.22</c:v>
                </c:pt>
                <c:pt idx="6">
                  <c:v>77.22</c:v>
                </c:pt>
                <c:pt idx="7">
                  <c:v>73.260000000000005</c:v>
                </c:pt>
                <c:pt idx="8">
                  <c:v>73.260000000000005</c:v>
                </c:pt>
                <c:pt idx="9">
                  <c:v>71.28</c:v>
                </c:pt>
                <c:pt idx="10">
                  <c:v>70.289999999999992</c:v>
                </c:pt>
                <c:pt idx="11">
                  <c:v>70.289999999999992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F2-A747-9901-1060AEB2A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2106423"/>
        <c:axId val="32590620"/>
      </c:lineChart>
      <c:catAx>
        <c:axId val="21064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GB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Hotels in account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2590620"/>
        <c:crosses val="autoZero"/>
        <c:auto val="1"/>
        <c:lblAlgn val="ctr"/>
        <c:lblOffset val="100"/>
        <c:noMultiLvlLbl val="0"/>
      </c:catAx>
      <c:valAx>
        <c:axId val="325906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10642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New vs legacy — ANNUAL contract value (£/yr)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'Group Scenarios'!$E$5</c:f>
              <c:strCache>
                <c:ptCount val="1"/>
                <c:pt idx="0">
                  <c:v>Annual contract value /yr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Scenarios'!$B$6:$B$17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</c:numCache>
            </c:numRef>
          </c:cat>
          <c:val>
            <c:numRef>
              <c:f>'Group Scenarios'!$E$6:$E$17</c:f>
              <c:numCache>
                <c:formatCode>\£#,##0</c:formatCode>
                <c:ptCount val="12"/>
                <c:pt idx="0">
                  <c:v>1188</c:v>
                </c:pt>
                <c:pt idx="1">
                  <c:v>2376</c:v>
                </c:pt>
                <c:pt idx="2">
                  <c:v>3564</c:v>
                </c:pt>
                <c:pt idx="3">
                  <c:v>3706.56</c:v>
                </c:pt>
                <c:pt idx="4">
                  <c:v>4633.2000000000007</c:v>
                </c:pt>
                <c:pt idx="5">
                  <c:v>9266.4000000000015</c:v>
                </c:pt>
                <c:pt idx="6">
                  <c:v>13899.599999999999</c:v>
                </c:pt>
                <c:pt idx="7">
                  <c:v>17582.400000000001</c:v>
                </c:pt>
                <c:pt idx="8">
                  <c:v>26373.600000000002</c:v>
                </c:pt>
                <c:pt idx="9">
                  <c:v>42768</c:v>
                </c:pt>
                <c:pt idx="10">
                  <c:v>63260.999999999985</c:v>
                </c:pt>
                <c:pt idx="11">
                  <c:v>84347.999999999985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DB-654E-B143-EC253593774D}"/>
            </c:ext>
          </c:extLst>
        </c:ser>
        <c:ser>
          <c:idx val="1"/>
          <c:order val="1"/>
          <c:tx>
            <c:strRef>
              <c:f>'Group Scenarios'!$G$5</c:f>
              <c:strCache>
                <c:ptCount val="1"/>
                <c:pt idx="0">
                  <c:v>Legacy annual /yr</c:v>
                </c:pt>
              </c:strCache>
            </c:strRef>
          </c:tx>
          <c:spPr>
            <a:ln w="284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Scenarios'!$B$6:$B$17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</c:numCache>
            </c:numRef>
          </c:cat>
          <c:val>
            <c:numRef>
              <c:f>'Group Scenarios'!$G$6:$G$17</c:f>
              <c:numCache>
                <c:formatCode>\£#,##0</c:formatCode>
                <c:ptCount val="12"/>
                <c:pt idx="0">
                  <c:v>2040</c:v>
                </c:pt>
                <c:pt idx="1">
                  <c:v>4080</c:v>
                </c:pt>
                <c:pt idx="2">
                  <c:v>6120</c:v>
                </c:pt>
                <c:pt idx="3">
                  <c:v>8160</c:v>
                </c:pt>
                <c:pt idx="4">
                  <c:v>10200</c:v>
                </c:pt>
                <c:pt idx="5">
                  <c:v>20400</c:v>
                </c:pt>
                <c:pt idx="6">
                  <c:v>30600</c:v>
                </c:pt>
                <c:pt idx="7">
                  <c:v>40800</c:v>
                </c:pt>
                <c:pt idx="8">
                  <c:v>61200</c:v>
                </c:pt>
                <c:pt idx="9">
                  <c:v>102000</c:v>
                </c:pt>
                <c:pt idx="10">
                  <c:v>153000</c:v>
                </c:pt>
                <c:pt idx="11">
                  <c:v>204000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ADB-654E-B143-EC2535937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88788475"/>
        <c:axId val="61973937"/>
      </c:lineChart>
      <c:catAx>
        <c:axId val="887884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GB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Hotels in account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1973937"/>
        <c:crosses val="autoZero"/>
        <c:auto val="1"/>
        <c:lblAlgn val="ctr"/>
        <c:lblOffset val="100"/>
        <c:noMultiLvlLbl val="0"/>
      </c:catAx>
      <c:valAx>
        <c:axId val="619739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878847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Gross margin % vs floor (the 'not too low' check)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'Group Scenarios'!$K$5</c:f>
              <c:strCache>
                <c:ptCount val="1"/>
                <c:pt idx="0">
                  <c:v>Gross margin %</c:v>
                </c:pt>
              </c:strCache>
            </c:strRef>
          </c:tx>
          <c:spPr>
            <a:ln w="28440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Scenarios'!$B$6:$B$17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</c:numCache>
            </c:numRef>
          </c:cat>
          <c:val>
            <c:numRef>
              <c:f>'Group Scenarios'!$K$6:$K$17</c:f>
              <c:numCache>
                <c:formatCode>0.0%</c:formatCode>
                <c:ptCount val="12"/>
                <c:pt idx="0">
                  <c:v>0.79797979797979801</c:v>
                </c:pt>
                <c:pt idx="1">
                  <c:v>0.79797979797979801</c:v>
                </c:pt>
                <c:pt idx="2">
                  <c:v>0.79797979797979801</c:v>
                </c:pt>
                <c:pt idx="3">
                  <c:v>0.74099974099974097</c:v>
                </c:pt>
                <c:pt idx="4">
                  <c:v>0.74099974099974097</c:v>
                </c:pt>
                <c:pt idx="5">
                  <c:v>0.74099974099974097</c:v>
                </c:pt>
                <c:pt idx="6">
                  <c:v>0.74099974099974097</c:v>
                </c:pt>
                <c:pt idx="7">
                  <c:v>0.72699972699972704</c:v>
                </c:pt>
                <c:pt idx="8">
                  <c:v>0.72699972699972704</c:v>
                </c:pt>
                <c:pt idx="9">
                  <c:v>0.71941638608305269</c:v>
                </c:pt>
                <c:pt idx="10">
                  <c:v>0.71546450419689855</c:v>
                </c:pt>
                <c:pt idx="11">
                  <c:v>0.71546450419689855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F6-BC4F-92F3-BDE057DBB471}"/>
            </c:ext>
          </c:extLst>
        </c:ser>
        <c:ser>
          <c:idx val="1"/>
          <c:order val="1"/>
          <c:tx>
            <c:strRef>
              <c:f>'Group Scenarios'!$L$5</c:f>
              <c:strCache>
                <c:ptCount val="1"/>
                <c:pt idx="0">
                  <c:v>Floor</c:v>
                </c:pt>
              </c:strCache>
            </c:strRef>
          </c:tx>
          <c:spPr>
            <a:ln w="28440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'Group Scenarios'!$B$6:$B$17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</c:numCache>
            </c:numRef>
          </c:cat>
          <c:val>
            <c:numRef>
              <c:f>'Group Scenarios'!$L$6:$L$17</c:f>
              <c:numCache>
                <c:formatCode>0.0%</c:formatCode>
                <c:ptCount val="12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6F6-BC4F-92F3-BDE057DBB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5794645"/>
        <c:axId val="37088898"/>
      </c:lineChart>
      <c:catAx>
        <c:axId val="957946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GB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Hotels in account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7088898"/>
        <c:crosses val="autoZero"/>
        <c:auto val="1"/>
        <c:lblAlgn val="ctr"/>
        <c:lblOffset val="100"/>
        <c:noMultiLvlLbl val="0"/>
      </c:catAx>
      <c:valAx>
        <c:axId val="370888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579464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New MRR by tier (monthly)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Forecast'!$E$29</c:f>
              <c:strCache>
                <c:ptCount val="1"/>
                <c:pt idx="0">
                  <c:v>New Ess MRR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 Forecast'!$B$30:$B$47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'Revenue Forecast'!$E$30:$E$47</c:f>
              <c:numCache>
                <c:formatCode>\£#,##0</c:formatCode>
                <c:ptCount val="18"/>
                <c:pt idx="0">
                  <c:v>678.27374999999995</c:v>
                </c:pt>
                <c:pt idx="1">
                  <c:v>678.27374999999995</c:v>
                </c:pt>
                <c:pt idx="2">
                  <c:v>904.36500000000001</c:v>
                </c:pt>
                <c:pt idx="3">
                  <c:v>1130.45625</c:v>
                </c:pt>
                <c:pt idx="4">
                  <c:v>1130.45625</c:v>
                </c:pt>
                <c:pt idx="5">
                  <c:v>1356.5474999999999</c:v>
                </c:pt>
                <c:pt idx="6">
                  <c:v>1582.6387499999998</c:v>
                </c:pt>
                <c:pt idx="7">
                  <c:v>1808.73</c:v>
                </c:pt>
                <c:pt idx="8">
                  <c:v>2034.82125</c:v>
                </c:pt>
                <c:pt idx="9">
                  <c:v>2487.0037499999999</c:v>
                </c:pt>
                <c:pt idx="10">
                  <c:v>2713.0949999999998</c:v>
                </c:pt>
                <c:pt idx="11">
                  <c:v>3165.2774999999997</c:v>
                </c:pt>
                <c:pt idx="12">
                  <c:v>3617.46</c:v>
                </c:pt>
                <c:pt idx="13">
                  <c:v>4069.6424999999999</c:v>
                </c:pt>
                <c:pt idx="14">
                  <c:v>4747.9162499999993</c:v>
                </c:pt>
                <c:pt idx="15">
                  <c:v>5426.19</c:v>
                </c:pt>
                <c:pt idx="16">
                  <c:v>6330.5549999999994</c:v>
                </c:pt>
                <c:pt idx="17">
                  <c:v>7234.92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3-4841-80B5-98C85407AC8B}"/>
            </c:ext>
          </c:extLst>
        </c:ser>
        <c:ser>
          <c:idx val="1"/>
          <c:order val="1"/>
          <c:tx>
            <c:strRef>
              <c:f>'Revenue Forecast'!$F$29</c:f>
              <c:strCache>
                <c:ptCount val="1"/>
                <c:pt idx="0">
                  <c:v>New Sig MRR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 Forecast'!$B$30:$B$47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'Revenue Forecast'!$F$30:$F$47</c:f>
              <c:numCache>
                <c:formatCode>\£#,##0</c:formatCode>
                <c:ptCount val="18"/>
                <c:pt idx="0">
                  <c:v>682.84124999999995</c:v>
                </c:pt>
                <c:pt idx="1">
                  <c:v>682.84124999999995</c:v>
                </c:pt>
                <c:pt idx="2">
                  <c:v>910.45499999999993</c:v>
                </c:pt>
                <c:pt idx="3">
                  <c:v>1138.0687499999999</c:v>
                </c:pt>
                <c:pt idx="4">
                  <c:v>1138.0687499999999</c:v>
                </c:pt>
                <c:pt idx="5">
                  <c:v>1365.6824999999999</c:v>
                </c:pt>
                <c:pt idx="6">
                  <c:v>1593.2962499999999</c:v>
                </c:pt>
                <c:pt idx="7">
                  <c:v>1820.9099999999999</c:v>
                </c:pt>
                <c:pt idx="8">
                  <c:v>2048.5237499999998</c:v>
                </c:pt>
                <c:pt idx="9">
                  <c:v>2503.7512499999998</c:v>
                </c:pt>
                <c:pt idx="10">
                  <c:v>2731.3649999999998</c:v>
                </c:pt>
                <c:pt idx="11">
                  <c:v>3186.5924999999997</c:v>
                </c:pt>
                <c:pt idx="12">
                  <c:v>3641.8199999999997</c:v>
                </c:pt>
                <c:pt idx="13">
                  <c:v>4097.0474999999997</c:v>
                </c:pt>
                <c:pt idx="14">
                  <c:v>4779.8887500000001</c:v>
                </c:pt>
                <c:pt idx="15">
                  <c:v>5462.73</c:v>
                </c:pt>
                <c:pt idx="16">
                  <c:v>6373.1849999999995</c:v>
                </c:pt>
                <c:pt idx="17">
                  <c:v>7283.6399999999994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63-4841-80B5-98C85407A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029564"/>
        <c:axId val="8148643"/>
      </c:barChart>
      <c:catAx>
        <c:axId val="400295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148643"/>
        <c:crosses val="autoZero"/>
        <c:auto val="1"/>
        <c:lblAlgn val="ctr"/>
        <c:lblOffset val="100"/>
        <c:noMultiLvlLbl val="0"/>
      </c:catAx>
      <c:valAx>
        <c:axId val="81486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GB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£/mo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£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0029564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GB" sz="1800" b="1" strike="noStrike">
                <a:solidFill>
                  <a:srgbClr val="000000"/>
                </a:solidFill>
                <a:uFillTx/>
                <a:latin typeface="Calibri"/>
              </a:rPr>
              <a:t>Ending MRR trajectory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Forecast'!$J$29</c:f>
              <c:strCache>
                <c:ptCount val="1"/>
                <c:pt idx="0">
                  <c:v>Ending MRR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'Revenue Forecast'!$B$30:$B$47</c:f>
              <c:strCache>
                <c:ptCount val="18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</c:strCache>
            </c:strRef>
          </c:cat>
          <c:val>
            <c:numRef>
              <c:f>'Revenue Forecast'!$J$30:$J$47</c:f>
              <c:numCache>
                <c:formatCode>\£#,##0</c:formatCode>
                <c:ptCount val="18"/>
                <c:pt idx="0">
                  <c:v>16086.114999999998</c:v>
                </c:pt>
                <c:pt idx="1">
                  <c:v>16642.924249999996</c:v>
                </c:pt>
                <c:pt idx="2">
                  <c:v>17625.598037499996</c:v>
                </c:pt>
                <c:pt idx="3">
                  <c:v>19012.843135624993</c:v>
                </c:pt>
                <c:pt idx="4">
                  <c:v>20330.725978843744</c:v>
                </c:pt>
                <c:pt idx="5">
                  <c:v>22036.419679901555</c:v>
                </c:pt>
                <c:pt idx="6">
                  <c:v>24110.533695906473</c:v>
                </c:pt>
                <c:pt idx="7">
                  <c:v>26534.647011111148</c:v>
                </c:pt>
                <c:pt idx="8">
                  <c:v>29291.259660555592</c:v>
                </c:pt>
                <c:pt idx="9">
                  <c:v>32817.45167752781</c:v>
                </c:pt>
                <c:pt idx="10">
                  <c:v>36621.039093651416</c:v>
                </c:pt>
                <c:pt idx="11">
                  <c:v>41141.857138968844</c:v>
                </c:pt>
                <c:pt idx="12">
                  <c:v>46344.044282020404</c:v>
                </c:pt>
                <c:pt idx="13">
                  <c:v>52193.532067919383</c:v>
                </c:pt>
                <c:pt idx="14">
                  <c:v>59111.660464523411</c:v>
                </c:pt>
                <c:pt idx="15">
                  <c:v>67044.997441297237</c:v>
                </c:pt>
                <c:pt idx="16">
                  <c:v>76396.487569232384</c:v>
                </c:pt>
                <c:pt idx="17">
                  <c:v>87095.223190770761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91-2045-ADDE-E714E61F16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23329"/>
        <c:axId val="76755002"/>
      </c:barChart>
      <c:catAx>
        <c:axId val="233233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6755002"/>
        <c:crosses val="autoZero"/>
        <c:auto val="1"/>
        <c:lblAlgn val="ctr"/>
        <c:lblOffset val="100"/>
        <c:noMultiLvlLbl val="0"/>
      </c:catAx>
      <c:valAx>
        <c:axId val="7675500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GB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£/mo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£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3323329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39960</xdr:rowOff>
    </xdr:from>
    <xdr:to>
      <xdr:col>3</xdr:col>
      <xdr:colOff>789840</xdr:colOff>
      <xdr:row>68</xdr:row>
      <xdr:rowOff>82079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55</xdr:row>
      <xdr:rowOff>39960</xdr:rowOff>
    </xdr:from>
    <xdr:to>
      <xdr:col>8</xdr:col>
      <xdr:colOff>47880</xdr:colOff>
      <xdr:row>68</xdr:row>
      <xdr:rowOff>82079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5</xdr:col>
      <xdr:colOff>843840</xdr:colOff>
      <xdr:row>32</xdr:row>
      <xdr:rowOff>41760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12</xdr:col>
      <xdr:colOff>558000</xdr:colOff>
      <xdr:row>32</xdr:row>
      <xdr:rowOff>41760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5</xdr:col>
      <xdr:colOff>843840</xdr:colOff>
      <xdr:row>48</xdr:row>
      <xdr:rowOff>42120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4</xdr:col>
      <xdr:colOff>58072</xdr:colOff>
      <xdr:row>85</xdr:row>
      <xdr:rowOff>32760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89</xdr:row>
      <xdr:rowOff>0</xdr:rowOff>
    </xdr:from>
    <xdr:to>
      <xdr:col>4</xdr:col>
      <xdr:colOff>58072</xdr:colOff>
      <xdr:row>103</xdr:row>
      <xdr:rowOff>32760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54"/>
  <sheetViews>
    <sheetView showGridLines="0" tabSelected="1" topLeftCell="A19" zoomScale="134" zoomScaleNormal="80" workbookViewId="0">
      <selection activeCell="D22" sqref="D22"/>
    </sheetView>
  </sheetViews>
  <sheetFormatPr baseColWidth="10" defaultColWidth="8.6640625" defaultRowHeight="15" customHeight="1" x14ac:dyDescent="0.2"/>
  <cols>
    <col min="1" max="1" width="3" customWidth="1"/>
    <col min="2" max="2" width="34" customWidth="1"/>
    <col min="3" max="3" width="14.5" customWidth="1"/>
    <col min="4" max="7" width="15" customWidth="1"/>
    <col min="8" max="8" width="28.1640625" customWidth="1"/>
    <col min="9" max="9" width="19.6640625" customWidth="1"/>
    <col min="10" max="10" width="13.83203125" customWidth="1"/>
    <col min="11" max="11" width="12.5" customWidth="1"/>
  </cols>
  <sheetData>
    <row r="2" spans="2:8" ht="25.5" customHeight="1" x14ac:dyDescent="0.2">
      <c r="B2" s="103" t="s">
        <v>78</v>
      </c>
      <c r="C2" s="102"/>
      <c r="D2" s="102"/>
      <c r="E2" s="102"/>
      <c r="F2" s="102"/>
      <c r="G2" s="102"/>
      <c r="H2" s="102"/>
    </row>
    <row r="3" spans="2:8" ht="15" customHeight="1" x14ac:dyDescent="0.2">
      <c r="B3" s="104" t="s">
        <v>79</v>
      </c>
      <c r="C3" s="102"/>
      <c r="D3" s="102"/>
      <c r="E3" s="102"/>
      <c r="F3" s="102"/>
      <c r="G3" s="102"/>
      <c r="H3" s="102"/>
    </row>
    <row r="5" spans="2:8" ht="15" customHeight="1" x14ac:dyDescent="0.2">
      <c r="B5" s="101" t="s">
        <v>80</v>
      </c>
      <c r="C5" s="102"/>
      <c r="D5" s="102"/>
      <c r="E5" s="102"/>
      <c r="F5" s="102"/>
      <c r="G5" s="102"/>
      <c r="H5" s="102"/>
    </row>
    <row r="6" spans="2:8" ht="15" customHeight="1" x14ac:dyDescent="0.2">
      <c r="B6" s="84" t="s">
        <v>81</v>
      </c>
      <c r="C6" s="3">
        <f>'Pricing Model'!$C$6</f>
        <v>99</v>
      </c>
    </row>
    <row r="7" spans="2:8" ht="15" customHeight="1" x14ac:dyDescent="0.2">
      <c r="B7" s="84" t="s">
        <v>82</v>
      </c>
      <c r="C7" s="3">
        <f>'Pricing Model'!$C$10</f>
        <v>20</v>
      </c>
      <c r="D7" t="s">
        <v>218</v>
      </c>
    </row>
    <row r="8" spans="2:8" ht="15" customHeight="1" x14ac:dyDescent="0.2">
      <c r="B8" s="84" t="s">
        <v>24</v>
      </c>
      <c r="C8" s="4">
        <f>'Pricing Model'!$C$8</f>
        <v>0.15</v>
      </c>
    </row>
    <row r="9" spans="2:8" ht="15" customHeight="1" x14ac:dyDescent="0.2">
      <c r="B9" s="84" t="s">
        <v>83</v>
      </c>
      <c r="C9" s="3">
        <f>'Pricing Model'!$C$9</f>
        <v>170</v>
      </c>
    </row>
    <row r="10" spans="2:8" ht="15" customHeight="1" x14ac:dyDescent="0.2">
      <c r="B10" s="84" t="s">
        <v>84</v>
      </c>
      <c r="C10" s="4">
        <f>'Pricing Model'!$C$11</f>
        <v>0.6</v>
      </c>
    </row>
    <row r="11" spans="2:8" x14ac:dyDescent="0.2">
      <c r="B11" s="84" t="s">
        <v>271</v>
      </c>
      <c r="C11" s="82">
        <v>299</v>
      </c>
    </row>
    <row r="12" spans="2:8" ht="15" customHeight="1" x14ac:dyDescent="0.2">
      <c r="B12" s="101" t="s">
        <v>85</v>
      </c>
      <c r="C12" s="102"/>
      <c r="D12" s="102"/>
      <c r="E12" s="102"/>
      <c r="F12" s="102"/>
      <c r="G12" s="102"/>
      <c r="H12" s="102"/>
    </row>
    <row r="13" spans="2:8" ht="27.75" customHeight="1" x14ac:dyDescent="0.2">
      <c r="B13" s="5" t="s">
        <v>86</v>
      </c>
      <c r="C13" s="5" t="s">
        <v>87</v>
      </c>
      <c r="D13" s="5" t="s">
        <v>88</v>
      </c>
      <c r="E13" s="5" t="s">
        <v>89</v>
      </c>
      <c r="F13" s="5" t="s">
        <v>90</v>
      </c>
      <c r="G13" s="5" t="s">
        <v>272</v>
      </c>
      <c r="H13" s="5" t="s">
        <v>270</v>
      </c>
    </row>
    <row r="14" spans="2:8" ht="15" customHeight="1" x14ac:dyDescent="0.2">
      <c r="B14" s="6">
        <v>1</v>
      </c>
      <c r="C14" s="7">
        <v>1</v>
      </c>
      <c r="D14" s="7">
        <v>3</v>
      </c>
      <c r="E14" s="8">
        <f>$C$6</f>
        <v>99</v>
      </c>
      <c r="F14" s="9">
        <f>1-$C$7/E14</f>
        <v>0.79797979797979801</v>
      </c>
      <c r="G14" s="8">
        <f>E14*$C$11/$C$6</f>
        <v>299</v>
      </c>
      <c r="H14" s="9">
        <f>1-$C$7/G14</f>
        <v>0.93311036789297663</v>
      </c>
    </row>
    <row r="15" spans="2:8" ht="15" customHeight="1" x14ac:dyDescent="0.2">
      <c r="B15" s="6">
        <v>2</v>
      </c>
      <c r="C15" s="7">
        <v>4</v>
      </c>
      <c r="D15" s="7">
        <v>15</v>
      </c>
      <c r="E15" s="10">
        <v>79</v>
      </c>
      <c r="F15" s="9">
        <f>1-$C$7/E15</f>
        <v>0.74683544303797467</v>
      </c>
      <c r="G15" s="10">
        <f>E15*$C$11/$C$6</f>
        <v>238.59595959595958</v>
      </c>
      <c r="H15" s="9">
        <f>1-$C$7/G15</f>
        <v>0.91617628381524918</v>
      </c>
    </row>
    <row r="16" spans="2:8" ht="15" customHeight="1" x14ac:dyDescent="0.2">
      <c r="B16" s="6">
        <v>3</v>
      </c>
      <c r="C16" s="7">
        <v>16</v>
      </c>
      <c r="D16" s="7">
        <v>30</v>
      </c>
      <c r="E16" s="10">
        <v>69</v>
      </c>
      <c r="F16" s="9">
        <f>1-$C$7/E16</f>
        <v>0.71014492753623193</v>
      </c>
      <c r="G16" s="10">
        <f>E16*$C$11/$C$6</f>
        <v>208.39393939393941</v>
      </c>
      <c r="H16" s="9">
        <f>1-$C$7/G16</f>
        <v>0.9040279191507925</v>
      </c>
    </row>
    <row r="17" spans="2:10" ht="15" customHeight="1" x14ac:dyDescent="0.2">
      <c r="B17" s="6">
        <v>4</v>
      </c>
      <c r="C17" s="7">
        <v>31</v>
      </c>
      <c r="D17" s="7">
        <v>50</v>
      </c>
      <c r="E17" s="10">
        <v>59</v>
      </c>
      <c r="F17" s="9">
        <f>1-$C$7/E17</f>
        <v>0.66101694915254239</v>
      </c>
      <c r="G17" s="10">
        <f>E17*$C$11/$C$6</f>
        <v>178.1919191919192</v>
      </c>
      <c r="H17" s="9">
        <f>1-$C$7/G17</f>
        <v>0.88776146476957085</v>
      </c>
    </row>
    <row r="18" spans="2:10" ht="15" customHeight="1" x14ac:dyDescent="0.2">
      <c r="B18" s="6">
        <v>5</v>
      </c>
      <c r="C18" s="7">
        <v>51</v>
      </c>
      <c r="D18" s="7">
        <v>9999</v>
      </c>
      <c r="E18" s="10">
        <v>49</v>
      </c>
      <c r="F18" s="9">
        <f>1-$C$7/E18</f>
        <v>0.59183673469387754</v>
      </c>
      <c r="G18" s="10">
        <f>E18*$C$11/$C$6</f>
        <v>147.98989898989899</v>
      </c>
      <c r="H18" s="9">
        <f>1-$C$7/G18</f>
        <v>0.86485564125315673</v>
      </c>
    </row>
    <row r="19" spans="2:10" ht="15" customHeight="1" x14ac:dyDescent="0.2">
      <c r="B19" s="105" t="s">
        <v>91</v>
      </c>
      <c r="C19" s="102"/>
      <c r="D19" s="102"/>
      <c r="E19" s="102"/>
      <c r="F19" s="102"/>
      <c r="G19" s="102"/>
      <c r="H19" s="102"/>
    </row>
    <row r="21" spans="2:10" ht="15" customHeight="1" x14ac:dyDescent="0.2">
      <c r="B21" s="101" t="s">
        <v>92</v>
      </c>
      <c r="C21" s="102"/>
      <c r="D21" s="102"/>
      <c r="E21" s="102"/>
      <c r="F21" s="102"/>
      <c r="G21" s="102"/>
      <c r="H21" s="102"/>
    </row>
    <row r="22" spans="2:10" ht="15" customHeight="1" x14ac:dyDescent="0.2">
      <c r="B22" s="11" t="s">
        <v>93</v>
      </c>
      <c r="C22" s="12">
        <v>1</v>
      </c>
    </row>
    <row r="24" spans="2:10" ht="30" customHeight="1" x14ac:dyDescent="0.2">
      <c r="B24" s="5" t="s">
        <v>86</v>
      </c>
      <c r="C24" s="5" t="s">
        <v>94</v>
      </c>
      <c r="D24" s="5" t="s">
        <v>95</v>
      </c>
      <c r="E24" s="5" t="s">
        <v>96</v>
      </c>
      <c r="F24" s="5" t="s">
        <v>97</v>
      </c>
      <c r="G24" s="5" t="s">
        <v>98</v>
      </c>
      <c r="H24" s="5" t="s">
        <v>266</v>
      </c>
      <c r="I24" s="5" t="s">
        <v>267</v>
      </c>
      <c r="J24" s="85" t="s">
        <v>98</v>
      </c>
    </row>
    <row r="25" spans="2:10" ht="15" customHeight="1" x14ac:dyDescent="0.2">
      <c r="B25" s="6">
        <f>B14</f>
        <v>1</v>
      </c>
      <c r="C25" s="13" t="str">
        <f>C14&amp;"–"&amp;IF(D14&gt;=9999,"+",D14)</f>
        <v>1–3</v>
      </c>
      <c r="D25" s="14">
        <f>E14</f>
        <v>99</v>
      </c>
      <c r="E25" s="15">
        <f>MAX(0,MIN($C$22,D14)-C14+1)</f>
        <v>1</v>
      </c>
      <c r="F25" s="16">
        <f>E25*D25</f>
        <v>99</v>
      </c>
      <c r="H25" s="14">
        <f>G14</f>
        <v>299</v>
      </c>
      <c r="I25" s="16">
        <f>E25*H25</f>
        <v>299</v>
      </c>
      <c r="J25" s="88"/>
    </row>
    <row r="26" spans="2:10" ht="15" customHeight="1" x14ac:dyDescent="0.2">
      <c r="B26" s="6">
        <f>B15</f>
        <v>2</v>
      </c>
      <c r="C26" s="13" t="str">
        <f>C15&amp;"–"&amp;IF(D15&gt;=9999,"+",D15)</f>
        <v>4–15</v>
      </c>
      <c r="D26" s="14">
        <f>E15</f>
        <v>79</v>
      </c>
      <c r="E26" s="15">
        <f>MAX(0,MIN($C$22,D15)-C15+1)</f>
        <v>0</v>
      </c>
      <c r="F26" s="16">
        <f>E26*D26</f>
        <v>0</v>
      </c>
      <c r="H26" s="14">
        <f>G15</f>
        <v>238.59595959595958</v>
      </c>
      <c r="I26" s="16">
        <f>E26*H26</f>
        <v>0</v>
      </c>
      <c r="J26" s="86"/>
    </row>
    <row r="27" spans="2:10" ht="15" customHeight="1" x14ac:dyDescent="0.2">
      <c r="B27" s="6">
        <f>B16</f>
        <v>3</v>
      </c>
      <c r="C27" s="13" t="str">
        <f>C16&amp;"–"&amp;IF(D16&gt;=9999,"+",D16)</f>
        <v>16–30</v>
      </c>
      <c r="D27" s="14">
        <f>E16</f>
        <v>69</v>
      </c>
      <c r="E27" s="15">
        <f>MAX(0,MIN($C$22,D16)-C16+1)</f>
        <v>0</v>
      </c>
      <c r="F27" s="16">
        <f>E27*D27</f>
        <v>0</v>
      </c>
      <c r="H27" s="14">
        <f>G16</f>
        <v>208.39393939393941</v>
      </c>
      <c r="I27" s="16">
        <f>E27*H27</f>
        <v>0</v>
      </c>
      <c r="J27" s="86"/>
    </row>
    <row r="28" spans="2:10" ht="15" customHeight="1" x14ac:dyDescent="0.2">
      <c r="B28" s="6">
        <f>B17</f>
        <v>4</v>
      </c>
      <c r="C28" s="13" t="str">
        <f>C17&amp;"–"&amp;IF(D17&gt;=9999,"+",D17)</f>
        <v>31–50</v>
      </c>
      <c r="D28" s="14">
        <f>E17</f>
        <v>59</v>
      </c>
      <c r="E28" s="15">
        <f>MAX(0,MIN($C$22,D17)-C17+1)</f>
        <v>0</v>
      </c>
      <c r="F28" s="16">
        <f>E28*D28</f>
        <v>0</v>
      </c>
      <c r="H28" s="14">
        <f>G17</f>
        <v>178.1919191919192</v>
      </c>
      <c r="I28" s="16">
        <f>E28*H28</f>
        <v>0</v>
      </c>
      <c r="J28" s="86"/>
    </row>
    <row r="29" spans="2:10" ht="15" customHeight="1" x14ac:dyDescent="0.2">
      <c r="B29" s="6">
        <f>B18</f>
        <v>5</v>
      </c>
      <c r="C29" s="13" t="str">
        <f>C18&amp;"–"&amp;IF(D18&gt;=9999,"+",D18)</f>
        <v>51–+</v>
      </c>
      <c r="D29" s="14">
        <f>E18</f>
        <v>49</v>
      </c>
      <c r="E29" s="15">
        <f>MAX(0,MIN($C$22,D18)-C18+1)</f>
        <v>0</v>
      </c>
      <c r="F29" s="16">
        <f>E29*D29</f>
        <v>0</v>
      </c>
      <c r="H29" s="14">
        <f>G18</f>
        <v>147.98989898989899</v>
      </c>
      <c r="I29" s="16">
        <f>E29*H29</f>
        <v>0</v>
      </c>
      <c r="J29" s="89"/>
    </row>
    <row r="30" spans="2:10" ht="15" customHeight="1" x14ac:dyDescent="0.2">
      <c r="B30" s="11" t="s">
        <v>99</v>
      </c>
      <c r="F30" s="17">
        <f>SUM(F25:F29)</f>
        <v>99</v>
      </c>
      <c r="G30" s="17">
        <f>F30*12</f>
        <v>1188</v>
      </c>
      <c r="I30" s="17">
        <f>SUM(I25:I29)</f>
        <v>299</v>
      </c>
      <c r="J30" s="87">
        <f>I30*12</f>
        <v>3588</v>
      </c>
    </row>
    <row r="32" spans="2:10" ht="15" customHeight="1" x14ac:dyDescent="0.2">
      <c r="B32" s="1" t="s">
        <v>100</v>
      </c>
      <c r="C32" s="83" t="s">
        <v>264</v>
      </c>
      <c r="D32" s="83" t="s">
        <v>265</v>
      </c>
      <c r="E32" s="1"/>
      <c r="F32" s="1"/>
      <c r="G32" s="1"/>
      <c r="H32" s="1"/>
    </row>
    <row r="33" spans="2:11" ht="15" customHeight="1" x14ac:dyDescent="0.2">
      <c r="B33" s="2" t="s">
        <v>101</v>
      </c>
      <c r="C33" s="18">
        <f>$F$30/$C$22</f>
        <v>99</v>
      </c>
      <c r="D33" s="18">
        <f>$I$30/$C$22</f>
        <v>299</v>
      </c>
    </row>
    <row r="34" spans="2:11" ht="15" customHeight="1" x14ac:dyDescent="0.2">
      <c r="B34" s="2" t="s">
        <v>102</v>
      </c>
      <c r="C34" s="19">
        <f>1-($F$30/$C$22)/$C$6</f>
        <v>0</v>
      </c>
      <c r="D34" s="19">
        <f>1-($I$30/$C$22)/$C$11</f>
        <v>0</v>
      </c>
    </row>
    <row r="35" spans="2:11" ht="15" customHeight="1" x14ac:dyDescent="0.2">
      <c r="B35" s="20" t="s">
        <v>103</v>
      </c>
      <c r="C35" s="21">
        <f>$F$30*12</f>
        <v>1188</v>
      </c>
      <c r="D35" s="21">
        <f>$I$30*12</f>
        <v>3588</v>
      </c>
    </row>
    <row r="36" spans="2:11" ht="15" customHeight="1" x14ac:dyDescent="0.2">
      <c r="B36" s="2" t="s">
        <v>104</v>
      </c>
      <c r="C36" s="22">
        <f>$F$30*(1+$C$8)</f>
        <v>113.85</v>
      </c>
      <c r="D36" s="22">
        <f>$I$30*(1+$C$8)</f>
        <v>343.84999999999997</v>
      </c>
    </row>
    <row r="37" spans="2:11" ht="15" customHeight="1" x14ac:dyDescent="0.2">
      <c r="B37" s="20" t="s">
        <v>105</v>
      </c>
      <c r="C37" s="23">
        <f>1-$C$7/($F$30/$C$22)</f>
        <v>0.79797979797979801</v>
      </c>
      <c r="D37" s="23">
        <f>1-$C$7/($I$30/$C$22)</f>
        <v>0.93311036789297663</v>
      </c>
    </row>
    <row r="38" spans="2:11" ht="15" customHeight="1" x14ac:dyDescent="0.2">
      <c r="B38" s="2" t="s">
        <v>106</v>
      </c>
      <c r="C38" s="24" t="str">
        <f>IF((1-$C$7/($F$30/$C$22))&lt;$C$10,"⚠ BELOW FLOOR","OK — healthy")</f>
        <v>OK — healthy</v>
      </c>
      <c r="D38" s="24" t="str">
        <f>IF((1-$C$7/($I$30/$C$22))&lt;$C$10,"⚠ BELOW FLOOR","OK — healthy")</f>
        <v>OK — healthy</v>
      </c>
    </row>
    <row r="39" spans="2:11" ht="15" customHeight="1" x14ac:dyDescent="0.2">
      <c r="B39" s="25" t="s">
        <v>107</v>
      </c>
    </row>
    <row r="40" spans="2:11" ht="15" customHeight="1" x14ac:dyDescent="0.2">
      <c r="B40" s="2" t="s">
        <v>108</v>
      </c>
      <c r="C40" s="22">
        <f>$C$22*'Pricing Model'!$C$6*(1-SUMPRODUCT(($C$22&gt;='Pricing Model'!$C$15:$C$19)*($C$22&lt;='Pricing Model'!$D$15:$D$19)*'Pricing Model'!$E$15:$E$19))</f>
        <v>99</v>
      </c>
      <c r="D40" s="22">
        <f>$C$40*$C$11/$C$6</f>
        <v>299</v>
      </c>
    </row>
    <row r="41" spans="2:11" ht="15" customHeight="1" x14ac:dyDescent="0.2">
      <c r="B41" s="2" t="s">
        <v>109</v>
      </c>
      <c r="C41" s="22">
        <f>$C$22*'Pricing Model'!$C$6*(1-SUMPRODUCT(($C$22&gt;='Pricing Model'!$C$15:$C$19)*($C$22&lt;='Pricing Model'!$D$15:$D$19)*'Pricing Model'!$E$15:$E$19))-$F$30</f>
        <v>0</v>
      </c>
      <c r="D41" s="22">
        <f>$D$40-$I$30</f>
        <v>0</v>
      </c>
    </row>
    <row r="42" spans="2:11" ht="15" customHeight="1" x14ac:dyDescent="0.2">
      <c r="B42" s="2" t="s">
        <v>110</v>
      </c>
      <c r="C42" s="22">
        <f>$C$22*$C$9</f>
        <v>170</v>
      </c>
    </row>
    <row r="44" spans="2:11" ht="15" customHeight="1" x14ac:dyDescent="0.2">
      <c r="B44" s="100" t="s">
        <v>111</v>
      </c>
      <c r="C44" s="100"/>
      <c r="D44" s="100"/>
      <c r="E44" s="100"/>
      <c r="F44" s="100"/>
      <c r="G44" s="100"/>
      <c r="H44" s="100"/>
      <c r="I44" s="100"/>
      <c r="J44" s="100"/>
      <c r="K44" s="100"/>
    </row>
    <row r="45" spans="2:11" ht="33.75" customHeight="1" x14ac:dyDescent="0.2">
      <c r="B45" s="5" t="s">
        <v>112</v>
      </c>
      <c r="C45" s="5" t="s">
        <v>219</v>
      </c>
      <c r="D45" s="5" t="s">
        <v>220</v>
      </c>
      <c r="E45" s="5" t="s">
        <v>113</v>
      </c>
      <c r="F45" s="5" t="s">
        <v>114</v>
      </c>
      <c r="G45" s="5" t="s">
        <v>115</v>
      </c>
      <c r="H45" s="5" t="s">
        <v>116</v>
      </c>
      <c r="I45" s="5" t="s">
        <v>268</v>
      </c>
      <c r="J45" s="5" t="s">
        <v>269</v>
      </c>
      <c r="K45" s="5" t="s">
        <v>270</v>
      </c>
    </row>
    <row r="46" spans="2:11" ht="15" customHeight="1" x14ac:dyDescent="0.2">
      <c r="B46" s="7">
        <v>1</v>
      </c>
      <c r="C46" s="26">
        <f t="shared" ref="C46:C54" si="0">SUMPRODUCT(((((($B46+$D$14:$D$18-ABS($B46-$D$14:$D$18))/2)-$C$14:$C$18+1)+ABS(((($B46+$D$14:$D$18-ABS($B46-$D$14:$D$18))/2)-$C$14:$C$18+1)))/2)*$E$14:$E$18)</f>
        <v>99</v>
      </c>
      <c r="D46" s="14">
        <f t="shared" ref="D46:D54" si="1">C46/$B46</f>
        <v>99</v>
      </c>
      <c r="E46" s="3">
        <f>$B46*'Pricing Model'!$C$6*(1-SUMPRODUCT(($B46&gt;='Pricing Model'!$C$15:$C$19)*($B46&lt;='Pricing Model'!$D$15:$D$19)*'Pricing Model'!$E$15:$E$19))</f>
        <v>99</v>
      </c>
      <c r="F46" s="3">
        <f t="shared" ref="F46:F53" si="2">$B46*$C$9</f>
        <v>170</v>
      </c>
      <c r="G46" s="9">
        <f t="shared" ref="G46:G54" si="3">1-$C$7/(C46/$B46)</f>
        <v>0.79797979797979801</v>
      </c>
      <c r="H46" s="13" t="str">
        <f t="shared" ref="H46:H54" si="4">IF(G46&lt;$C$10,"⚠ LOW","OK")</f>
        <v>OK</v>
      </c>
      <c r="I46" s="26">
        <f t="shared" ref="I46:I54" si="5">SUMPRODUCT((((($B46+$D$14:$D$18-ABS($B46-$D$14:$D$18))/2)-$C$14:$C$18+1)+ABS(((($B46+$D$14:$D$18-ABS($B46-$D$14:$D$18))/2)-$C$14:$C$18+1)))/2*$G$14:$G$18)</f>
        <v>299</v>
      </c>
      <c r="J46" s="14">
        <f t="shared" ref="J46:J54" si="6">I46/$B46</f>
        <v>299</v>
      </c>
      <c r="K46" s="9">
        <f t="shared" ref="K46:K54" si="7">1-$C$7/(I46/$B46)</f>
        <v>0.93311036789297663</v>
      </c>
    </row>
    <row r="47" spans="2:11" x14ac:dyDescent="0.2">
      <c r="B47" s="7">
        <v>3</v>
      </c>
      <c r="C47" s="26">
        <f t="shared" si="0"/>
        <v>297</v>
      </c>
      <c r="D47" s="14">
        <f t="shared" si="1"/>
        <v>99</v>
      </c>
      <c r="E47" s="3">
        <f>$B47*'Pricing Model'!$C$6*(1-SUMPRODUCT(($B47&gt;='Pricing Model'!$C$15:$C$19)*($B47&lt;='Pricing Model'!$D$15:$D$19)*'Pricing Model'!$E$15:$E$19))</f>
        <v>297</v>
      </c>
      <c r="F47" s="3">
        <f t="shared" si="2"/>
        <v>510</v>
      </c>
      <c r="G47" s="9">
        <f t="shared" si="3"/>
        <v>0.79797979797979801</v>
      </c>
      <c r="H47" s="13" t="str">
        <f t="shared" si="4"/>
        <v>OK</v>
      </c>
      <c r="I47" s="26">
        <f t="shared" si="5"/>
        <v>897</v>
      </c>
      <c r="J47" s="14">
        <f t="shared" si="6"/>
        <v>299</v>
      </c>
      <c r="K47" s="9">
        <f t="shared" si="7"/>
        <v>0.93311036789297663</v>
      </c>
    </row>
    <row r="48" spans="2:11" x14ac:dyDescent="0.2">
      <c r="B48" s="7">
        <v>5</v>
      </c>
      <c r="C48" s="26">
        <f t="shared" si="0"/>
        <v>455</v>
      </c>
      <c r="D48" s="14">
        <f t="shared" si="1"/>
        <v>91</v>
      </c>
      <c r="E48" s="3">
        <f>$B48*'Pricing Model'!$C$6*(1-SUMPRODUCT(($B48&gt;='Pricing Model'!$C$15:$C$19)*($B48&lt;='Pricing Model'!$D$15:$D$19)*'Pricing Model'!$E$15:$E$19))</f>
        <v>386.1</v>
      </c>
      <c r="F48" s="3">
        <f t="shared" si="2"/>
        <v>850</v>
      </c>
      <c r="G48" s="9">
        <f t="shared" si="3"/>
        <v>0.78021978021978022</v>
      </c>
      <c r="H48" s="13" t="str">
        <f t="shared" si="4"/>
        <v>OK</v>
      </c>
      <c r="I48" s="26">
        <f t="shared" si="5"/>
        <v>1374.1919191919192</v>
      </c>
      <c r="J48" s="14">
        <f t="shared" si="6"/>
        <v>274.83838383838383</v>
      </c>
      <c r="K48" s="9">
        <f t="shared" si="7"/>
        <v>0.9272299606747767</v>
      </c>
    </row>
    <row r="49" spans="2:11" x14ac:dyDescent="0.2">
      <c r="B49" s="7">
        <v>10</v>
      </c>
      <c r="C49" s="26">
        <f t="shared" si="0"/>
        <v>850</v>
      </c>
      <c r="D49" s="14">
        <f t="shared" si="1"/>
        <v>85</v>
      </c>
      <c r="E49" s="3">
        <f>$B49*'Pricing Model'!$C$6*(1-SUMPRODUCT(($B49&gt;='Pricing Model'!$C$15:$C$19)*($B49&lt;='Pricing Model'!$D$15:$D$19)*'Pricing Model'!$E$15:$E$19))</f>
        <v>772.2</v>
      </c>
      <c r="F49" s="3">
        <f t="shared" si="2"/>
        <v>1700</v>
      </c>
      <c r="G49" s="9">
        <f t="shared" si="3"/>
        <v>0.76470588235294112</v>
      </c>
      <c r="H49" s="13" t="str">
        <f t="shared" si="4"/>
        <v>OK</v>
      </c>
      <c r="I49" s="26">
        <f t="shared" si="5"/>
        <v>2567.1717171717173</v>
      </c>
      <c r="J49" s="14">
        <f t="shared" si="6"/>
        <v>256.71717171717171</v>
      </c>
      <c r="K49" s="9">
        <f t="shared" si="7"/>
        <v>0.9220932520165257</v>
      </c>
    </row>
    <row r="50" spans="2:11" ht="15" customHeight="1" x14ac:dyDescent="0.2">
      <c r="B50" s="7">
        <v>20</v>
      </c>
      <c r="C50" s="26">
        <f t="shared" si="0"/>
        <v>1590</v>
      </c>
      <c r="D50" s="14">
        <f t="shared" si="1"/>
        <v>79.5</v>
      </c>
      <c r="E50" s="3">
        <f>$B50*'Pricing Model'!$C$6*(1-SUMPRODUCT(($B50&gt;='Pricing Model'!$C$15:$C$19)*($B50&lt;='Pricing Model'!$D$15:$D$19)*'Pricing Model'!$E$15:$E$19))</f>
        <v>1465.2</v>
      </c>
      <c r="F50" s="3">
        <f t="shared" si="2"/>
        <v>3400</v>
      </c>
      <c r="G50" s="9">
        <f t="shared" si="3"/>
        <v>0.7484276729559749</v>
      </c>
      <c r="H50" s="13" t="str">
        <f t="shared" si="4"/>
        <v>OK</v>
      </c>
      <c r="I50" s="26">
        <f t="shared" si="5"/>
        <v>4802.121212121212</v>
      </c>
      <c r="J50" s="14">
        <f t="shared" si="6"/>
        <v>240.10606060606059</v>
      </c>
      <c r="K50" s="9">
        <f t="shared" si="7"/>
        <v>0.91670347699880106</v>
      </c>
    </row>
    <row r="51" spans="2:11" ht="15" customHeight="1" x14ac:dyDescent="0.2">
      <c r="B51" s="7">
        <v>30</v>
      </c>
      <c r="C51" s="26">
        <f t="shared" si="0"/>
        <v>2280</v>
      </c>
      <c r="D51" s="14">
        <f t="shared" si="1"/>
        <v>76</v>
      </c>
      <c r="E51" s="3">
        <f>$B51*'Pricing Model'!$C$6*(1-SUMPRODUCT(($B51&gt;='Pricing Model'!$C$15:$C$19)*($B51&lt;='Pricing Model'!$D$15:$D$19)*'Pricing Model'!$E$15:$E$19))</f>
        <v>2197.8000000000002</v>
      </c>
      <c r="F51" s="3">
        <f t="shared" si="2"/>
        <v>5100</v>
      </c>
      <c r="G51" s="9">
        <f t="shared" si="3"/>
        <v>0.73684210526315796</v>
      </c>
      <c r="H51" s="13" t="str">
        <f t="shared" si="4"/>
        <v>OK</v>
      </c>
      <c r="I51" s="26">
        <f t="shared" si="5"/>
        <v>6886.060606060606</v>
      </c>
      <c r="J51" s="14">
        <f t="shared" si="6"/>
        <v>229.53535353535352</v>
      </c>
      <c r="K51" s="9">
        <f t="shared" si="7"/>
        <v>0.91286745291321947</v>
      </c>
    </row>
    <row r="52" spans="2:11" ht="15" customHeight="1" x14ac:dyDescent="0.2">
      <c r="B52" s="7">
        <v>50</v>
      </c>
      <c r="C52" s="26">
        <f t="shared" si="0"/>
        <v>3460</v>
      </c>
      <c r="D52" s="14">
        <f t="shared" si="1"/>
        <v>69.2</v>
      </c>
      <c r="E52" s="3">
        <f>$B52*'Pricing Model'!$C$6*(1-SUMPRODUCT(($B52&gt;='Pricing Model'!$C$15:$C$19)*($B52&lt;='Pricing Model'!$D$15:$D$19)*'Pricing Model'!$E$15:$E$19))</f>
        <v>3564</v>
      </c>
      <c r="F52" s="3">
        <f t="shared" si="2"/>
        <v>8500</v>
      </c>
      <c r="G52" s="9">
        <f t="shared" si="3"/>
        <v>0.71098265895953761</v>
      </c>
      <c r="H52" s="13" t="str">
        <f t="shared" si="4"/>
        <v>OK</v>
      </c>
      <c r="I52" s="26">
        <f t="shared" si="5"/>
        <v>10449.898989898989</v>
      </c>
      <c r="J52" s="14">
        <f t="shared" si="6"/>
        <v>208.99797979797978</v>
      </c>
      <c r="K52" s="9">
        <f t="shared" si="7"/>
        <v>0.90430529510700408</v>
      </c>
    </row>
    <row r="53" spans="2:11" ht="15" customHeight="1" x14ac:dyDescent="0.2">
      <c r="B53" s="7">
        <v>75</v>
      </c>
      <c r="C53" s="26">
        <f t="shared" si="0"/>
        <v>4685</v>
      </c>
      <c r="D53" s="14">
        <f t="shared" si="1"/>
        <v>62.466666666666669</v>
      </c>
      <c r="E53" s="3">
        <f>$B53*'Pricing Model'!$C$6*(1-SUMPRODUCT(($B53&gt;='Pricing Model'!$C$15:$C$19)*($B53&lt;='Pricing Model'!$D$15:$D$19)*'Pricing Model'!$E$15:$E$19))</f>
        <v>5271.75</v>
      </c>
      <c r="F53" s="3">
        <f t="shared" si="2"/>
        <v>12750</v>
      </c>
      <c r="G53" s="9">
        <f t="shared" si="3"/>
        <v>0.67982924226254005</v>
      </c>
      <c r="H53" s="13" t="str">
        <f t="shared" si="4"/>
        <v>OK</v>
      </c>
      <c r="I53" s="26">
        <f t="shared" si="5"/>
        <v>14149.646464646465</v>
      </c>
      <c r="J53" s="14">
        <f t="shared" si="6"/>
        <v>188.66195286195287</v>
      </c>
      <c r="K53" s="9">
        <f t="shared" si="7"/>
        <v>0.89399028422739624</v>
      </c>
    </row>
    <row r="54" spans="2:11" ht="15" customHeight="1" x14ac:dyDescent="0.2">
      <c r="B54" s="7">
        <v>100</v>
      </c>
      <c r="C54" s="26">
        <f t="shared" si="0"/>
        <v>5910</v>
      </c>
      <c r="D54" s="14">
        <f t="shared" si="1"/>
        <v>59.1</v>
      </c>
      <c r="E54" s="3">
        <f>$B54*'Pricing Model'!$C$6*(1-SUMPRODUCT(($B54&gt;='Pricing Model'!$C$15:$C$19)*($B54&lt;='Pricing Model'!$D$15:$D$19)*'Pricing Model'!$E$15:$E$19))</f>
        <v>7029</v>
      </c>
      <c r="F54" s="3">
        <f>$B54*$C$9</f>
        <v>17000</v>
      </c>
      <c r="G54" s="9">
        <f t="shared" si="3"/>
        <v>0.66159052453468692</v>
      </c>
      <c r="H54" s="13" t="str">
        <f t="shared" si="4"/>
        <v>OK</v>
      </c>
      <c r="I54" s="26">
        <f t="shared" si="5"/>
        <v>17849.39393939394</v>
      </c>
      <c r="J54" s="14">
        <f t="shared" si="6"/>
        <v>178.4939393939394</v>
      </c>
      <c r="K54" s="9">
        <f t="shared" si="7"/>
        <v>0.88795137768874255</v>
      </c>
    </row>
  </sheetData>
  <mergeCells count="7">
    <mergeCell ref="B44:K44"/>
    <mergeCell ref="B21:H21"/>
    <mergeCell ref="B5:H5"/>
    <mergeCell ref="B12:H12"/>
    <mergeCell ref="B2:H2"/>
    <mergeCell ref="B3:H3"/>
    <mergeCell ref="B19:H19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A35C-D36D-D54C-B9DC-0F6AA7EAD46D}">
  <dimension ref="B5:F49"/>
  <sheetViews>
    <sheetView zoomScale="150" workbookViewId="0">
      <selection activeCell="B24" sqref="B24:F49"/>
    </sheetView>
  </sheetViews>
  <sheetFormatPr baseColWidth="10" defaultRowHeight="15" x14ac:dyDescent="0.2"/>
  <cols>
    <col min="1" max="1" width="3.6640625" style="90" customWidth="1"/>
    <col min="2" max="2" width="80.33203125" style="90" bestFit="1" customWidth="1"/>
    <col min="3" max="16384" width="10.83203125" style="90"/>
  </cols>
  <sheetData>
    <row r="5" spans="2:6" x14ac:dyDescent="0.2">
      <c r="B5" s="90" t="s">
        <v>227</v>
      </c>
    </row>
    <row r="6" spans="2:6" x14ac:dyDescent="0.2">
      <c r="B6" s="90" t="s">
        <v>228</v>
      </c>
    </row>
    <row r="9" spans="2:6" x14ac:dyDescent="0.2">
      <c r="B9" s="90" t="s">
        <v>229</v>
      </c>
    </row>
    <row r="10" spans="2:6" x14ac:dyDescent="0.2">
      <c r="B10" s="90" t="s">
        <v>230</v>
      </c>
    </row>
    <row r="11" spans="2:6" x14ac:dyDescent="0.2">
      <c r="C11" s="106" t="s">
        <v>223</v>
      </c>
      <c r="D11" s="107"/>
      <c r="E11" s="107"/>
      <c r="F11" s="107"/>
    </row>
    <row r="12" spans="2:6" x14ac:dyDescent="0.2">
      <c r="B12" s="97"/>
      <c r="C12" s="93" t="s">
        <v>263</v>
      </c>
      <c r="D12" s="93" t="s">
        <v>264</v>
      </c>
      <c r="E12" s="93" t="s">
        <v>265</v>
      </c>
      <c r="F12" s="93" t="s">
        <v>222</v>
      </c>
    </row>
    <row r="13" spans="2:6" x14ac:dyDescent="0.2">
      <c r="B13" s="92" t="s">
        <v>257</v>
      </c>
      <c r="C13" s="93" t="s">
        <v>224</v>
      </c>
      <c r="D13" s="93" t="s">
        <v>225</v>
      </c>
      <c r="E13" s="93" t="s">
        <v>226</v>
      </c>
      <c r="F13" s="93"/>
    </row>
    <row r="14" spans="2:6" x14ac:dyDescent="0.2">
      <c r="B14" s="92" t="s">
        <v>261</v>
      </c>
      <c r="C14" s="93" t="s">
        <v>259</v>
      </c>
      <c r="D14" s="93" t="s">
        <v>253</v>
      </c>
      <c r="E14" s="93" t="s">
        <v>253</v>
      </c>
      <c r="F14" s="93" t="s">
        <v>253</v>
      </c>
    </row>
    <row r="15" spans="2:6" x14ac:dyDescent="0.2">
      <c r="B15" s="92" t="s">
        <v>258</v>
      </c>
      <c r="C15" s="93" t="s">
        <v>253</v>
      </c>
      <c r="D15" s="93" t="s">
        <v>253</v>
      </c>
      <c r="E15" s="93" t="s">
        <v>253</v>
      </c>
      <c r="F15" s="93" t="s">
        <v>253</v>
      </c>
    </row>
    <row r="16" spans="2:6" x14ac:dyDescent="0.2">
      <c r="B16" s="92" t="s">
        <v>143</v>
      </c>
      <c r="C16" s="93" t="s">
        <v>146</v>
      </c>
      <c r="D16" s="93" t="s">
        <v>146</v>
      </c>
      <c r="E16" s="93" t="s">
        <v>146</v>
      </c>
      <c r="F16" s="93" t="s">
        <v>146</v>
      </c>
    </row>
    <row r="17" spans="2:6" x14ac:dyDescent="0.2">
      <c r="B17" s="92" t="s">
        <v>255</v>
      </c>
      <c r="C17" s="93" t="s">
        <v>252</v>
      </c>
      <c r="D17" s="94">
        <v>25</v>
      </c>
      <c r="E17" s="94">
        <v>25</v>
      </c>
      <c r="F17" s="94">
        <v>25</v>
      </c>
    </row>
    <row r="18" spans="2:6" x14ac:dyDescent="0.2">
      <c r="B18" s="92" t="s">
        <v>250</v>
      </c>
      <c r="C18" s="93">
        <v>2</v>
      </c>
      <c r="D18" s="93">
        <v>15</v>
      </c>
      <c r="E18" s="93" t="s">
        <v>146</v>
      </c>
      <c r="F18" s="93" t="s">
        <v>146</v>
      </c>
    </row>
    <row r="19" spans="2:6" x14ac:dyDescent="0.2">
      <c r="B19" s="92" t="s">
        <v>251</v>
      </c>
      <c r="C19" s="93" t="s">
        <v>254</v>
      </c>
      <c r="D19" s="93" t="s">
        <v>253</v>
      </c>
      <c r="E19" s="93" t="s">
        <v>253</v>
      </c>
      <c r="F19" s="93"/>
    </row>
    <row r="20" spans="2:6" x14ac:dyDescent="0.2">
      <c r="B20" s="92" t="s">
        <v>262</v>
      </c>
      <c r="C20" s="93">
        <v>1</v>
      </c>
      <c r="D20" s="93">
        <v>15</v>
      </c>
      <c r="E20" s="93" t="s">
        <v>146</v>
      </c>
      <c r="F20" s="93" t="s">
        <v>146</v>
      </c>
    </row>
    <row r="21" spans="2:6" x14ac:dyDescent="0.2">
      <c r="B21" s="92" t="s">
        <v>260</v>
      </c>
      <c r="C21" s="93" t="s">
        <v>259</v>
      </c>
      <c r="D21" s="93" t="s">
        <v>259</v>
      </c>
      <c r="E21" s="93" t="s">
        <v>253</v>
      </c>
      <c r="F21" s="93" t="s">
        <v>253</v>
      </c>
    </row>
    <row r="22" spans="2:6" x14ac:dyDescent="0.2">
      <c r="B22" s="92"/>
      <c r="C22" s="93"/>
      <c r="D22" s="93"/>
      <c r="E22" s="93"/>
      <c r="F22" s="93"/>
    </row>
    <row r="23" spans="2:6" x14ac:dyDescent="0.2">
      <c r="B23" s="92"/>
    </row>
    <row r="24" spans="2:6" x14ac:dyDescent="0.2">
      <c r="B24" s="91" t="s">
        <v>282</v>
      </c>
      <c r="C24" s="93" t="s">
        <v>256</v>
      </c>
      <c r="D24" s="93" t="s">
        <v>253</v>
      </c>
      <c r="E24" s="93" t="s">
        <v>253</v>
      </c>
      <c r="F24" s="93" t="s">
        <v>253</v>
      </c>
    </row>
    <row r="25" spans="2:6" x14ac:dyDescent="0.2">
      <c r="B25" s="99" t="s">
        <v>286</v>
      </c>
      <c r="C25" s="93" t="s">
        <v>224</v>
      </c>
      <c r="D25" s="93" t="s">
        <v>283</v>
      </c>
      <c r="E25" s="93" t="s">
        <v>284</v>
      </c>
      <c r="F25" s="93" t="s">
        <v>285</v>
      </c>
    </row>
    <row r="26" spans="2:6" x14ac:dyDescent="0.2">
      <c r="B26" s="92" t="s">
        <v>231</v>
      </c>
      <c r="C26" s="93" t="s">
        <v>256</v>
      </c>
      <c r="D26" s="93" t="s">
        <v>253</v>
      </c>
      <c r="E26" s="93" t="s">
        <v>253</v>
      </c>
      <c r="F26" s="93" t="s">
        <v>253</v>
      </c>
    </row>
    <row r="27" spans="2:6" x14ac:dyDescent="0.2">
      <c r="B27" s="92" t="s">
        <v>232</v>
      </c>
      <c r="C27" s="95" t="s">
        <v>253</v>
      </c>
      <c r="D27" s="96" t="s">
        <v>253</v>
      </c>
      <c r="E27" s="96" t="s">
        <v>253</v>
      </c>
      <c r="F27" s="96" t="s">
        <v>253</v>
      </c>
    </row>
    <row r="28" spans="2:6" x14ac:dyDescent="0.2">
      <c r="B28" s="92" t="s">
        <v>233</v>
      </c>
      <c r="C28" s="95" t="s">
        <v>253</v>
      </c>
      <c r="D28" s="96" t="s">
        <v>253</v>
      </c>
      <c r="E28" s="96" t="s">
        <v>253</v>
      </c>
      <c r="F28" s="96" t="s">
        <v>253</v>
      </c>
    </row>
    <row r="29" spans="2:6" x14ac:dyDescent="0.2">
      <c r="B29" s="92" t="s">
        <v>234</v>
      </c>
      <c r="C29" s="95" t="s">
        <v>253</v>
      </c>
      <c r="D29" s="96" t="s">
        <v>253</v>
      </c>
      <c r="E29" s="96" t="s">
        <v>253</v>
      </c>
      <c r="F29" s="96" t="s">
        <v>253</v>
      </c>
    </row>
    <row r="30" spans="2:6" x14ac:dyDescent="0.2">
      <c r="B30" s="92" t="s">
        <v>235</v>
      </c>
      <c r="C30" s="95" t="s">
        <v>253</v>
      </c>
      <c r="D30" s="96" t="s">
        <v>253</v>
      </c>
      <c r="E30" s="96" t="s">
        <v>253</v>
      </c>
      <c r="F30" s="96" t="s">
        <v>253</v>
      </c>
    </row>
    <row r="31" spans="2:6" x14ac:dyDescent="0.2">
      <c r="B31" s="92" t="s">
        <v>236</v>
      </c>
      <c r="C31" s="95" t="s">
        <v>253</v>
      </c>
      <c r="D31" s="96" t="s">
        <v>253</v>
      </c>
      <c r="E31" s="96" t="s">
        <v>253</v>
      </c>
      <c r="F31" s="96" t="s">
        <v>253</v>
      </c>
    </row>
    <row r="32" spans="2:6" x14ac:dyDescent="0.2">
      <c r="B32" s="92" t="s">
        <v>237</v>
      </c>
      <c r="C32" s="95" t="s">
        <v>259</v>
      </c>
      <c r="D32" s="96" t="s">
        <v>253</v>
      </c>
      <c r="E32" s="96" t="s">
        <v>253</v>
      </c>
      <c r="F32" s="96" t="s">
        <v>253</v>
      </c>
    </row>
    <row r="33" spans="2:6" x14ac:dyDescent="0.2">
      <c r="B33" s="92" t="s">
        <v>238</v>
      </c>
      <c r="C33" s="95" t="s">
        <v>259</v>
      </c>
      <c r="D33" s="96" t="s">
        <v>253</v>
      </c>
      <c r="E33" s="96" t="s">
        <v>253</v>
      </c>
      <c r="F33" s="96" t="s">
        <v>253</v>
      </c>
    </row>
    <row r="34" spans="2:6" x14ac:dyDescent="0.2">
      <c r="B34" s="92" t="s">
        <v>239</v>
      </c>
      <c r="C34" s="95" t="s">
        <v>259</v>
      </c>
      <c r="D34" s="96" t="s">
        <v>253</v>
      </c>
      <c r="E34" s="96" t="s">
        <v>253</v>
      </c>
      <c r="F34" s="96" t="s">
        <v>253</v>
      </c>
    </row>
    <row r="35" spans="2:6" x14ac:dyDescent="0.2">
      <c r="B35" s="92" t="s">
        <v>240</v>
      </c>
      <c r="C35" s="95" t="s">
        <v>253</v>
      </c>
      <c r="D35" s="96" t="s">
        <v>253</v>
      </c>
      <c r="E35" s="96" t="s">
        <v>253</v>
      </c>
      <c r="F35" s="96" t="s">
        <v>253</v>
      </c>
    </row>
    <row r="36" spans="2:6" x14ac:dyDescent="0.2">
      <c r="B36" s="92" t="s">
        <v>241</v>
      </c>
      <c r="C36" s="95" t="s">
        <v>253</v>
      </c>
      <c r="D36" s="96" t="s">
        <v>253</v>
      </c>
      <c r="E36" s="96" t="s">
        <v>253</v>
      </c>
      <c r="F36" s="96" t="s">
        <v>253</v>
      </c>
    </row>
    <row r="37" spans="2:6" x14ac:dyDescent="0.2">
      <c r="B37" s="92" t="s">
        <v>242</v>
      </c>
      <c r="C37" s="95" t="s">
        <v>253</v>
      </c>
      <c r="D37" s="96" t="s">
        <v>253</v>
      </c>
      <c r="E37" s="96" t="s">
        <v>253</v>
      </c>
      <c r="F37" s="96" t="s">
        <v>253</v>
      </c>
    </row>
    <row r="38" spans="2:6" x14ac:dyDescent="0.2">
      <c r="B38" s="92" t="s">
        <v>243</v>
      </c>
      <c r="C38" s="95" t="s">
        <v>253</v>
      </c>
      <c r="D38" s="96" t="s">
        <v>253</v>
      </c>
      <c r="E38" s="96" t="s">
        <v>253</v>
      </c>
      <c r="F38" s="96" t="s">
        <v>253</v>
      </c>
    </row>
    <row r="39" spans="2:6" x14ac:dyDescent="0.2">
      <c r="B39" s="92" t="s">
        <v>244</v>
      </c>
      <c r="C39" s="95" t="s">
        <v>253</v>
      </c>
      <c r="D39" s="96" t="s">
        <v>253</v>
      </c>
      <c r="E39" s="96" t="s">
        <v>253</v>
      </c>
      <c r="F39" s="96" t="s">
        <v>253</v>
      </c>
    </row>
    <row r="40" spans="2:6" x14ac:dyDescent="0.2">
      <c r="B40" s="91" t="s">
        <v>276</v>
      </c>
      <c r="C40" s="92"/>
      <c r="D40" s="92"/>
      <c r="E40" s="92"/>
      <c r="F40" s="92"/>
    </row>
    <row r="41" spans="2:6" x14ac:dyDescent="0.2">
      <c r="B41" s="92" t="s">
        <v>279</v>
      </c>
      <c r="C41" s="93" t="s">
        <v>277</v>
      </c>
      <c r="D41" s="93" t="s">
        <v>278</v>
      </c>
      <c r="E41" s="93" t="s">
        <v>278</v>
      </c>
      <c r="F41" s="93" t="s">
        <v>253</v>
      </c>
    </row>
    <row r="42" spans="2:6" x14ac:dyDescent="0.2">
      <c r="B42" s="92" t="s">
        <v>280</v>
      </c>
      <c r="C42" s="93" t="s">
        <v>278</v>
      </c>
      <c r="D42" s="93" t="s">
        <v>278</v>
      </c>
      <c r="E42" s="93" t="s">
        <v>278</v>
      </c>
      <c r="F42" s="93" t="s">
        <v>253</v>
      </c>
    </row>
    <row r="43" spans="2:6" x14ac:dyDescent="0.2">
      <c r="B43" s="92" t="s">
        <v>281</v>
      </c>
      <c r="C43" s="98" t="s">
        <v>254</v>
      </c>
      <c r="D43" s="93" t="s">
        <v>278</v>
      </c>
      <c r="E43" s="93" t="s">
        <v>278</v>
      </c>
      <c r="F43" s="93" t="s">
        <v>253</v>
      </c>
    </row>
    <row r="44" spans="2:6" x14ac:dyDescent="0.2">
      <c r="B44" s="91" t="s">
        <v>275</v>
      </c>
      <c r="C44" s="92"/>
      <c r="D44" s="92"/>
      <c r="E44" s="92"/>
      <c r="F44" s="92"/>
    </row>
    <row r="45" spans="2:6" x14ac:dyDescent="0.2">
      <c r="B45" s="92" t="s">
        <v>245</v>
      </c>
      <c r="C45" s="95" t="s">
        <v>259</v>
      </c>
      <c r="D45" s="96" t="s">
        <v>253</v>
      </c>
      <c r="E45" s="96" t="s">
        <v>253</v>
      </c>
      <c r="F45" s="96" t="s">
        <v>253</v>
      </c>
    </row>
    <row r="46" spans="2:6" x14ac:dyDescent="0.2">
      <c r="B46" s="92" t="s">
        <v>246</v>
      </c>
      <c r="C46" s="95" t="s">
        <v>259</v>
      </c>
      <c r="D46" s="96" t="s">
        <v>253</v>
      </c>
      <c r="E46" s="96" t="s">
        <v>253</v>
      </c>
      <c r="F46" s="96" t="s">
        <v>253</v>
      </c>
    </row>
    <row r="47" spans="2:6" x14ac:dyDescent="0.2">
      <c r="B47" s="92" t="s">
        <v>247</v>
      </c>
      <c r="C47" s="95" t="s">
        <v>259</v>
      </c>
      <c r="D47" s="96" t="s">
        <v>253</v>
      </c>
      <c r="E47" s="96" t="s">
        <v>253</v>
      </c>
      <c r="F47" s="96" t="s">
        <v>253</v>
      </c>
    </row>
    <row r="48" spans="2:6" x14ac:dyDescent="0.2">
      <c r="B48" s="92" t="s">
        <v>248</v>
      </c>
      <c r="C48" s="95" t="s">
        <v>259</v>
      </c>
      <c r="D48" s="96" t="s">
        <v>253</v>
      </c>
      <c r="E48" s="96" t="s">
        <v>253</v>
      </c>
      <c r="F48" s="96" t="s">
        <v>253</v>
      </c>
    </row>
    <row r="49" spans="2:6" x14ac:dyDescent="0.2">
      <c r="B49" s="92" t="s">
        <v>249</v>
      </c>
      <c r="C49" s="95" t="s">
        <v>259</v>
      </c>
      <c r="D49" s="96" t="s">
        <v>253</v>
      </c>
      <c r="E49" s="96" t="s">
        <v>253</v>
      </c>
      <c r="F49" s="96" t="s">
        <v>253</v>
      </c>
    </row>
  </sheetData>
  <mergeCells count="1">
    <mergeCell ref="C11:F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73"/>
  <sheetViews>
    <sheetView showGridLines="0" zoomScale="110" zoomScaleNormal="80" workbookViewId="0">
      <selection activeCell="D6" sqref="D6:G6"/>
    </sheetView>
  </sheetViews>
  <sheetFormatPr baseColWidth="10" defaultColWidth="8.6640625" defaultRowHeight="15" customHeight="1" x14ac:dyDescent="0.2"/>
  <cols>
    <col min="1" max="1" width="3" customWidth="1"/>
    <col min="2" max="2" width="36" customWidth="1"/>
    <col min="3" max="3" width="17.6640625" customWidth="1"/>
    <col min="4" max="6" width="15" customWidth="1"/>
    <col min="7" max="7" width="65.33203125" customWidth="1"/>
    <col min="8" max="8" width="28.1640625" customWidth="1"/>
  </cols>
  <sheetData>
    <row r="2" spans="2:7" ht="30" customHeight="1" x14ac:dyDescent="0.2">
      <c r="B2" s="111" t="s">
        <v>117</v>
      </c>
      <c r="C2" s="102"/>
      <c r="D2" s="102"/>
      <c r="E2" s="102"/>
      <c r="F2" s="102"/>
      <c r="G2" s="102"/>
    </row>
    <row r="3" spans="2:7" ht="15.75" customHeight="1" x14ac:dyDescent="0.2">
      <c r="B3" s="110" t="s">
        <v>118</v>
      </c>
      <c r="C3" s="102"/>
      <c r="D3" s="102"/>
      <c r="E3" s="102"/>
      <c r="F3" s="102"/>
      <c r="G3" s="102"/>
    </row>
    <row r="5" spans="2:7" ht="15" customHeight="1" x14ac:dyDescent="0.2">
      <c r="B5" s="108" t="s">
        <v>119</v>
      </c>
      <c r="C5" s="102"/>
      <c r="D5" s="102"/>
      <c r="E5" s="102"/>
      <c r="F5" s="102"/>
    </row>
    <row r="6" spans="2:7" ht="15" customHeight="1" x14ac:dyDescent="0.2">
      <c r="B6" s="27" t="s">
        <v>120</v>
      </c>
      <c r="C6" s="28">
        <v>99</v>
      </c>
      <c r="D6" s="109" t="s">
        <v>121</v>
      </c>
      <c r="E6" s="102"/>
      <c r="F6" s="102"/>
      <c r="G6" s="102"/>
    </row>
    <row r="7" spans="2:7" ht="15" customHeight="1" x14ac:dyDescent="0.2">
      <c r="B7" s="27" t="s">
        <v>122</v>
      </c>
      <c r="C7" s="29">
        <v>500</v>
      </c>
      <c r="D7" s="109" t="s">
        <v>123</v>
      </c>
      <c r="E7" s="102"/>
      <c r="F7" s="102"/>
      <c r="G7" s="102"/>
    </row>
    <row r="8" spans="2:7" ht="15" customHeight="1" x14ac:dyDescent="0.2">
      <c r="B8" s="27" t="s">
        <v>24</v>
      </c>
      <c r="C8" s="30">
        <v>0.15</v>
      </c>
      <c r="D8" s="109" t="s">
        <v>124</v>
      </c>
      <c r="E8" s="102"/>
      <c r="F8" s="102"/>
      <c r="G8" s="102"/>
    </row>
    <row r="9" spans="2:7" ht="15" customHeight="1" x14ac:dyDescent="0.2">
      <c r="B9" s="27" t="s">
        <v>125</v>
      </c>
      <c r="C9" s="28">
        <v>170</v>
      </c>
      <c r="D9" s="109" t="s">
        <v>126</v>
      </c>
      <c r="E9" s="102"/>
      <c r="F9" s="102"/>
      <c r="G9" s="102"/>
    </row>
    <row r="10" spans="2:7" ht="15" customHeight="1" x14ac:dyDescent="0.2">
      <c r="B10" s="27" t="s">
        <v>82</v>
      </c>
      <c r="C10" s="28">
        <v>20</v>
      </c>
      <c r="D10" s="109" t="s">
        <v>127</v>
      </c>
      <c r="E10" s="102"/>
      <c r="F10" s="102"/>
      <c r="G10" s="102"/>
    </row>
    <row r="11" spans="2:7" ht="15" customHeight="1" x14ac:dyDescent="0.2">
      <c r="B11" s="27" t="s">
        <v>84</v>
      </c>
      <c r="C11" s="30">
        <v>0.6</v>
      </c>
      <c r="D11" s="109" t="s">
        <v>128</v>
      </c>
      <c r="E11" s="102"/>
      <c r="F11" s="102"/>
      <c r="G11" s="102"/>
    </row>
    <row r="13" spans="2:7" ht="15" customHeight="1" x14ac:dyDescent="0.2">
      <c r="B13" s="108" t="s">
        <v>129</v>
      </c>
      <c r="C13" s="102"/>
      <c r="D13" s="102"/>
      <c r="E13" s="102"/>
      <c r="F13" s="102"/>
      <c r="G13" s="102"/>
    </row>
    <row r="14" spans="2:7" ht="25.5" customHeight="1" x14ac:dyDescent="0.2">
      <c r="B14" s="31" t="s">
        <v>130</v>
      </c>
      <c r="C14" s="31" t="s">
        <v>131</v>
      </c>
      <c r="D14" s="31" t="s">
        <v>132</v>
      </c>
      <c r="E14" s="31" t="s">
        <v>133</v>
      </c>
      <c r="F14" s="31" t="s">
        <v>134</v>
      </c>
    </row>
    <row r="15" spans="2:7" ht="15" customHeight="1" x14ac:dyDescent="0.2">
      <c r="B15" s="32">
        <v>1</v>
      </c>
      <c r="C15" s="29">
        <v>1</v>
      </c>
      <c r="D15" s="29">
        <v>3</v>
      </c>
      <c r="E15" s="30">
        <v>0</v>
      </c>
      <c r="F15" s="33">
        <f>$C$6*(1-E15)</f>
        <v>99</v>
      </c>
    </row>
    <row r="16" spans="2:7" ht="15" customHeight="1" x14ac:dyDescent="0.2">
      <c r="B16" s="32">
        <v>2</v>
      </c>
      <c r="C16" s="29">
        <v>4</v>
      </c>
      <c r="D16" s="29">
        <v>15</v>
      </c>
      <c r="E16" s="30">
        <v>0.22</v>
      </c>
      <c r="F16" s="33">
        <f>$C$6*(1-E16)</f>
        <v>77.22</v>
      </c>
    </row>
    <row r="17" spans="2:7" ht="15" customHeight="1" x14ac:dyDescent="0.2">
      <c r="B17" s="32">
        <v>3</v>
      </c>
      <c r="C17" s="29">
        <v>16</v>
      </c>
      <c r="D17" s="29">
        <v>30</v>
      </c>
      <c r="E17" s="30">
        <v>0.26</v>
      </c>
      <c r="F17" s="33">
        <f>$C$6*(1-E17)</f>
        <v>73.260000000000005</v>
      </c>
    </row>
    <row r="18" spans="2:7" ht="15" customHeight="1" x14ac:dyDescent="0.2">
      <c r="B18" s="32">
        <v>4</v>
      </c>
      <c r="C18" s="29">
        <v>31</v>
      </c>
      <c r="D18" s="29">
        <v>50</v>
      </c>
      <c r="E18" s="30">
        <v>0.28000000000000003</v>
      </c>
      <c r="F18" s="33">
        <f>$C$6*(1-E18)</f>
        <v>71.28</v>
      </c>
    </row>
    <row r="19" spans="2:7" ht="15" customHeight="1" x14ac:dyDescent="0.2">
      <c r="B19" s="32">
        <v>5</v>
      </c>
      <c r="C19" s="29">
        <v>51</v>
      </c>
      <c r="D19" s="29">
        <v>9999</v>
      </c>
      <c r="E19" s="30">
        <v>0.28999999999999998</v>
      </c>
      <c r="F19" s="33">
        <f>$C$6*(1-E19)</f>
        <v>70.289999999999992</v>
      </c>
    </row>
    <row r="20" spans="2:7" ht="15" customHeight="1" x14ac:dyDescent="0.2">
      <c r="B20" s="109" t="s">
        <v>135</v>
      </c>
      <c r="C20" s="102"/>
      <c r="D20" s="102"/>
      <c r="E20" s="102"/>
      <c r="F20" s="102"/>
      <c r="G20" s="102"/>
    </row>
    <row r="23" spans="2:7" ht="15" customHeight="1" x14ac:dyDescent="0.2">
      <c r="B23" s="108" t="s">
        <v>136</v>
      </c>
      <c r="C23" s="102"/>
      <c r="D23" s="102"/>
      <c r="E23" s="102"/>
      <c r="F23" s="102"/>
      <c r="G23" s="102"/>
    </row>
    <row r="24" spans="2:7" ht="25.5" customHeight="1" x14ac:dyDescent="0.2">
      <c r="B24" s="31" t="s">
        <v>137</v>
      </c>
      <c r="C24" s="31" t="s">
        <v>138</v>
      </c>
      <c r="D24" s="31" t="s">
        <v>139</v>
      </c>
      <c r="E24" s="31" t="s">
        <v>140</v>
      </c>
    </row>
    <row r="25" spans="2:7" ht="15" customHeight="1" x14ac:dyDescent="0.2">
      <c r="B25" s="34">
        <f>C16</f>
        <v>4</v>
      </c>
      <c r="C25" s="35">
        <f>(C16-1)*$C$6*(1-E15)</f>
        <v>297</v>
      </c>
      <c r="D25" s="35">
        <f>C16*$C$6*(1-E16)</f>
        <v>308.88</v>
      </c>
      <c r="E25" s="32" t="str">
        <f>IF(D25&lt;C25,"⚠ CLIFF","OK")</f>
        <v>OK</v>
      </c>
    </row>
    <row r="26" spans="2:7" ht="15" customHeight="1" x14ac:dyDescent="0.2">
      <c r="B26" s="34">
        <f>C17</f>
        <v>16</v>
      </c>
      <c r="C26" s="35">
        <f>(C17-1)*$C$6*(1-E16)</f>
        <v>1158.3</v>
      </c>
      <c r="D26" s="35">
        <f>C17*$C$6*(1-E17)</f>
        <v>1172.1600000000001</v>
      </c>
      <c r="E26" s="32" t="str">
        <f>IF(D26&lt;C26,"⚠ CLIFF","OK")</f>
        <v>OK</v>
      </c>
    </row>
    <row r="27" spans="2:7" ht="15" customHeight="1" x14ac:dyDescent="0.2">
      <c r="B27" s="34">
        <f>C18</f>
        <v>31</v>
      </c>
      <c r="C27" s="35">
        <f>(C18-1)*$C$6*(1-E17)</f>
        <v>2197.8000000000002</v>
      </c>
      <c r="D27" s="35">
        <f>C18*$C$6*(1-E18)</f>
        <v>2209.6799999999998</v>
      </c>
      <c r="E27" s="32" t="str">
        <f>IF(D27&lt;C27,"⚠ CLIFF","OK")</f>
        <v>OK</v>
      </c>
    </row>
    <row r="28" spans="2:7" ht="15" customHeight="1" x14ac:dyDescent="0.2">
      <c r="B28" s="34">
        <f>C19</f>
        <v>51</v>
      </c>
      <c r="C28" s="35">
        <f>(C19-1)*$C$6*(1-E18)</f>
        <v>3564</v>
      </c>
      <c r="D28" s="35">
        <f>C19*$C$6*(1-E19)</f>
        <v>3584.79</v>
      </c>
      <c r="E28" s="32" t="str">
        <f>IF(D28&lt;C28,"⚠ CLIFF","OK")</f>
        <v>OK</v>
      </c>
    </row>
    <row r="31" spans="2:7" ht="15" customHeight="1" x14ac:dyDescent="0.2">
      <c r="B31" s="108" t="s">
        <v>141</v>
      </c>
      <c r="C31" s="102"/>
      <c r="D31" s="102"/>
      <c r="E31" s="102"/>
      <c r="F31" s="102"/>
      <c r="G31" s="102"/>
    </row>
    <row r="32" spans="2:7" ht="15" customHeight="1" x14ac:dyDescent="0.2">
      <c r="B32" s="27" t="s">
        <v>142</v>
      </c>
      <c r="C32" s="29">
        <v>25</v>
      </c>
    </row>
    <row r="33" spans="2:7" ht="15" customHeight="1" x14ac:dyDescent="0.2">
      <c r="B33" s="27" t="s">
        <v>143</v>
      </c>
      <c r="C33" s="36" t="s">
        <v>144</v>
      </c>
    </row>
    <row r="34" spans="2:7" ht="15" customHeight="1" x14ac:dyDescent="0.2">
      <c r="B34" s="27" t="s">
        <v>145</v>
      </c>
      <c r="C34" s="36" t="s">
        <v>146</v>
      </c>
    </row>
    <row r="35" spans="2:7" ht="15" customHeight="1" x14ac:dyDescent="0.2">
      <c r="B35" s="27" t="s">
        <v>147</v>
      </c>
      <c r="C35" s="28">
        <v>25</v>
      </c>
    </row>
    <row r="36" spans="2:7" ht="15" customHeight="1" x14ac:dyDescent="0.2">
      <c r="B36" s="27" t="s">
        <v>148</v>
      </c>
      <c r="C36" s="28">
        <v>25</v>
      </c>
    </row>
    <row r="38" spans="2:7" ht="15" customHeight="1" x14ac:dyDescent="0.2">
      <c r="B38" s="108" t="s">
        <v>149</v>
      </c>
      <c r="C38" s="102"/>
      <c r="D38" s="102"/>
      <c r="E38" s="102"/>
      <c r="F38" s="102"/>
      <c r="G38" s="102"/>
    </row>
    <row r="39" spans="2:7" ht="15" customHeight="1" x14ac:dyDescent="0.2">
      <c r="B39" s="11" t="s">
        <v>93</v>
      </c>
      <c r="C39" s="37">
        <v>5</v>
      </c>
    </row>
    <row r="40" spans="2:7" ht="15" customHeight="1" x14ac:dyDescent="0.2">
      <c r="B40" s="27" t="s">
        <v>150</v>
      </c>
      <c r="C40" s="38">
        <f>SUMPRODUCT(($C$39&gt;=$C$15:$C$19)*($C$39&lt;=$D$15:$D$19)*$E$15:$E$19)</f>
        <v>0.22</v>
      </c>
    </row>
    <row r="41" spans="2:7" ht="15" customHeight="1" x14ac:dyDescent="0.2">
      <c r="B41" s="27" t="s">
        <v>151</v>
      </c>
      <c r="C41" s="39">
        <f>$C$6*(1-SUMPRODUCT(($C$39&gt;=$C$15:$C$19)*($C$39&lt;=$D$15:$D$19)*$E$15:$E$19))</f>
        <v>77.22</v>
      </c>
    </row>
    <row r="42" spans="2:7" ht="15" customHeight="1" x14ac:dyDescent="0.2">
      <c r="B42" s="27" t="s">
        <v>152</v>
      </c>
      <c r="C42" s="40">
        <f>$C$39*$C$6*(1-SUMPRODUCT(($C$39&gt;=$C$15:$C$19)*($C$39&lt;=$D$15:$D$19)*$E$15:$E$19))</f>
        <v>386.1</v>
      </c>
    </row>
    <row r="44" spans="2:7" ht="15" customHeight="1" x14ac:dyDescent="0.2">
      <c r="B44" s="108" t="s">
        <v>153</v>
      </c>
      <c r="C44" s="102"/>
      <c r="D44" s="102"/>
      <c r="E44" s="102"/>
      <c r="F44" s="102"/>
      <c r="G44" s="102"/>
    </row>
    <row r="45" spans="2:7" ht="15" customHeight="1" x14ac:dyDescent="0.2">
      <c r="B45" s="27" t="s">
        <v>154</v>
      </c>
      <c r="C45" s="36">
        <v>1</v>
      </c>
      <c r="D45" s="35">
        <f>C45*$C$35</f>
        <v>25</v>
      </c>
    </row>
    <row r="46" spans="2:7" ht="15" customHeight="1" x14ac:dyDescent="0.2">
      <c r="B46" s="27" t="s">
        <v>155</v>
      </c>
      <c r="C46" s="36">
        <v>0</v>
      </c>
      <c r="D46" s="35">
        <f>C46*$C$36</f>
        <v>0</v>
      </c>
    </row>
    <row r="47" spans="2:7" ht="15" customHeight="1" x14ac:dyDescent="0.2">
      <c r="B47" s="11" t="s">
        <v>156</v>
      </c>
      <c r="D47" s="41">
        <f>SUM(D45:D46)</f>
        <v>25</v>
      </c>
    </row>
    <row r="49" spans="2:7" ht="15" customHeight="1" x14ac:dyDescent="0.2">
      <c r="B49" s="108" t="s">
        <v>100</v>
      </c>
      <c r="C49" s="102"/>
      <c r="D49" s="102"/>
      <c r="E49" s="102"/>
      <c r="F49" s="102"/>
      <c r="G49" s="102"/>
    </row>
    <row r="50" spans="2:7" ht="15" customHeight="1" x14ac:dyDescent="0.2">
      <c r="B50" s="27" t="s">
        <v>150</v>
      </c>
      <c r="C50" s="42">
        <f>SUMPRODUCT(($C$39&gt;=$C$15:$C$19)*($C$39&lt;=$D$15:$D$19)*$E$15:$E$19)</f>
        <v>0.22</v>
      </c>
    </row>
    <row r="51" spans="2:7" ht="15" customHeight="1" x14ac:dyDescent="0.2">
      <c r="B51" s="27" t="s">
        <v>157</v>
      </c>
      <c r="C51" s="43">
        <f>($C$42+$D$47)/$C$39</f>
        <v>82.22</v>
      </c>
    </row>
    <row r="52" spans="2:7" ht="15" customHeight="1" x14ac:dyDescent="0.2">
      <c r="B52" s="25" t="s">
        <v>158</v>
      </c>
    </row>
    <row r="53" spans="2:7" ht="15" customHeight="1" x14ac:dyDescent="0.2">
      <c r="B53" s="27" t="s">
        <v>99</v>
      </c>
      <c r="C53" s="41">
        <f>$C$42+$D$47</f>
        <v>411.1</v>
      </c>
    </row>
    <row r="54" spans="2:7" ht="15" customHeight="1" x14ac:dyDescent="0.2">
      <c r="B54" s="44" t="s">
        <v>103</v>
      </c>
      <c r="C54" s="45">
        <f>($C$42+$D$47)*12</f>
        <v>4933.2000000000007</v>
      </c>
    </row>
    <row r="55" spans="2:7" ht="15" customHeight="1" x14ac:dyDescent="0.2">
      <c r="B55" s="25" t="s">
        <v>159</v>
      </c>
    </row>
    <row r="56" spans="2:7" ht="15" customHeight="1" x14ac:dyDescent="0.2">
      <c r="B56" s="27" t="s">
        <v>160</v>
      </c>
      <c r="C56" s="43">
        <f>$C$6*(1-SUMPRODUCT(($C$39&gt;=$C$15:$C$19)*($C$39&lt;=$D$15:$D$19)*$E$15:$E$19))*(1+$C$8)</f>
        <v>88.802999999999997</v>
      </c>
    </row>
    <row r="57" spans="2:7" ht="15" customHeight="1" x14ac:dyDescent="0.2">
      <c r="B57" s="27" t="s">
        <v>161</v>
      </c>
      <c r="C57" s="41">
        <f>$C$42*(1+$C$8)+$D$47</f>
        <v>469.01499999999999</v>
      </c>
    </row>
    <row r="58" spans="2:7" ht="15" customHeight="1" x14ac:dyDescent="0.2">
      <c r="B58" s="25" t="s">
        <v>162</v>
      </c>
    </row>
    <row r="59" spans="2:7" ht="15" customHeight="1" x14ac:dyDescent="0.2">
      <c r="B59" s="27" t="s">
        <v>163</v>
      </c>
      <c r="C59" s="43">
        <f>$C$10</f>
        <v>20</v>
      </c>
    </row>
    <row r="60" spans="2:7" ht="15" customHeight="1" x14ac:dyDescent="0.2">
      <c r="B60" s="27" t="s">
        <v>164</v>
      </c>
      <c r="C60" s="43">
        <f>$C$6*(1-SUMPRODUCT(($C$39&gt;=$C$15:$C$19)*($C$39&lt;=$D$15:$D$19)*$E$15:$E$19))-$C$10</f>
        <v>57.22</v>
      </c>
    </row>
    <row r="61" spans="2:7" ht="15" customHeight="1" x14ac:dyDescent="0.2">
      <c r="B61" s="44" t="s">
        <v>165</v>
      </c>
      <c r="C61" s="46">
        <f>1-$C$10/($C$6*(1-SUMPRODUCT(($C$39&gt;=$C$15:$C$19)*($C$39&lt;=$D$15:$D$19)*$E$15:$E$19)))</f>
        <v>0.74099974099974097</v>
      </c>
    </row>
    <row r="62" spans="2:7" ht="15" customHeight="1" x14ac:dyDescent="0.2">
      <c r="B62" s="27" t="s">
        <v>106</v>
      </c>
      <c r="C62" s="47" t="str">
        <f>IF((1-$C$10/($C$6*(1-SUMPRODUCT(($C$39&gt;=$C$15:$C$19)*($C$39&lt;=$D$15:$D$19)*$E$15:$E$19))))&lt;$C$11,"⚠ BELOW FLOOR","OK — healthy")</f>
        <v>OK — healthy</v>
      </c>
    </row>
    <row r="63" spans="2:7" ht="15" customHeight="1" x14ac:dyDescent="0.2">
      <c r="B63" s="25" t="s">
        <v>166</v>
      </c>
    </row>
    <row r="64" spans="2:7" ht="15" customHeight="1" x14ac:dyDescent="0.2">
      <c r="B64" s="27" t="s">
        <v>167</v>
      </c>
      <c r="C64" s="41">
        <f>$C$39*$C$9*12</f>
        <v>10200</v>
      </c>
    </row>
    <row r="65" spans="2:7" ht="15" customHeight="1" x14ac:dyDescent="0.2">
      <c r="B65" s="27" t="s">
        <v>168</v>
      </c>
      <c r="C65" s="41">
        <f>$C$39*$C$9*12-($C$42+$D$47)*12</f>
        <v>5266.7999999999993</v>
      </c>
    </row>
    <row r="66" spans="2:7" ht="15" customHeight="1" x14ac:dyDescent="0.2">
      <c r="B66" s="27" t="s">
        <v>169</v>
      </c>
      <c r="C66" s="42">
        <f>IF($C$39*$C$9=0,0,1-($C$42+$D$47)/($C$39*$C$9))</f>
        <v>0.51635294117647057</v>
      </c>
    </row>
    <row r="67" spans="2:7" ht="15" customHeight="1" x14ac:dyDescent="0.2">
      <c r="B67" s="27" t="s">
        <v>170</v>
      </c>
      <c r="C67" s="41">
        <f>$C$7/$C$39</f>
        <v>100</v>
      </c>
    </row>
    <row r="68" spans="2:7" ht="15" customHeight="1" x14ac:dyDescent="0.2">
      <c r="B68" s="27" t="s">
        <v>171</v>
      </c>
      <c r="C68" s="48">
        <f>IF(($C$42+$D$47)=0,0,$C$7/($C$42+$D$47))</f>
        <v>1.216249087813184</v>
      </c>
    </row>
    <row r="70" spans="2:7" ht="15" customHeight="1" x14ac:dyDescent="0.2">
      <c r="B70" s="108" t="s">
        <v>172</v>
      </c>
      <c r="C70" s="102"/>
      <c r="D70" s="102"/>
      <c r="E70" s="102"/>
      <c r="F70" s="102"/>
      <c r="G70" s="102"/>
    </row>
    <row r="71" spans="2:7" ht="15" customHeight="1" x14ac:dyDescent="0.2">
      <c r="B71" s="49" t="s">
        <v>173</v>
      </c>
      <c r="C71" s="49" t="s">
        <v>174</v>
      </c>
      <c r="D71" s="49" t="s">
        <v>175</v>
      </c>
    </row>
    <row r="72" spans="2:7" ht="15" customHeight="1" x14ac:dyDescent="0.2">
      <c r="B72" s="50" t="s">
        <v>176</v>
      </c>
      <c r="C72" s="51">
        <f>$C$6</f>
        <v>99</v>
      </c>
      <c r="D72" s="45">
        <f>$C$6*12</f>
        <v>1188</v>
      </c>
    </row>
    <row r="73" spans="2:7" ht="15" customHeight="1" x14ac:dyDescent="0.2">
      <c r="B73" s="50" t="s">
        <v>177</v>
      </c>
      <c r="C73" s="52">
        <f>$C$6*(1+$C$8)</f>
        <v>113.85</v>
      </c>
      <c r="D73" s="53">
        <f>$C$6*(1+$C$8)*12</f>
        <v>1366.1999999999998</v>
      </c>
    </row>
  </sheetData>
  <mergeCells count="17">
    <mergeCell ref="B3:G3"/>
    <mergeCell ref="B2:G2"/>
    <mergeCell ref="B20:G20"/>
    <mergeCell ref="B38:G38"/>
    <mergeCell ref="D10:G10"/>
    <mergeCell ref="D9:G9"/>
    <mergeCell ref="D8:G8"/>
    <mergeCell ref="D6:G6"/>
    <mergeCell ref="B23:G23"/>
    <mergeCell ref="B31:G31"/>
    <mergeCell ref="B5:F5"/>
    <mergeCell ref="D7:G7"/>
    <mergeCell ref="B49:G49"/>
    <mergeCell ref="D11:G11"/>
    <mergeCell ref="B13:G13"/>
    <mergeCell ref="B70:G70"/>
    <mergeCell ref="B44:G44"/>
  </mergeCells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17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J40" sqref="J40"/>
    </sheetView>
  </sheetViews>
  <sheetFormatPr baseColWidth="10" defaultColWidth="8.6640625" defaultRowHeight="15" customHeight="1" x14ac:dyDescent="0.2"/>
  <cols>
    <col min="1" max="1" width="3" customWidth="1"/>
    <col min="2" max="2" width="13" customWidth="1"/>
    <col min="3" max="3" width="10" customWidth="1"/>
    <col min="4" max="4" width="14" customWidth="1"/>
    <col min="5" max="5" width="15" customWidth="1"/>
    <col min="6" max="6" width="13" customWidth="1"/>
    <col min="7" max="7" width="18.1640625" customWidth="1"/>
    <col min="8" max="8" width="14" customWidth="1"/>
    <col min="9" max="9" width="10" customWidth="1"/>
    <col min="10" max="10" width="9" customWidth="1"/>
    <col min="11" max="11" width="12" customWidth="1"/>
    <col min="12" max="12" width="11" customWidth="1"/>
    <col min="13" max="13" width="10" customWidth="1"/>
  </cols>
  <sheetData>
    <row r="2" spans="2:17" ht="27.75" customHeight="1" x14ac:dyDescent="0.2">
      <c r="B2" s="112" t="s">
        <v>178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2:17" ht="15" customHeight="1" x14ac:dyDescent="0.2">
      <c r="B3" s="109" t="s">
        <v>179</v>
      </c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</row>
    <row r="5" spans="2:17" ht="43.5" customHeight="1" x14ac:dyDescent="0.2">
      <c r="B5" s="31" t="s">
        <v>112</v>
      </c>
      <c r="C5" s="31" t="s">
        <v>133</v>
      </c>
      <c r="D5" s="31" t="s">
        <v>180</v>
      </c>
      <c r="E5" s="31" t="s">
        <v>181</v>
      </c>
      <c r="F5" s="31" t="s">
        <v>182</v>
      </c>
      <c r="G5" s="31" t="s">
        <v>183</v>
      </c>
      <c r="H5" s="31" t="s">
        <v>184</v>
      </c>
      <c r="I5" s="31" t="s">
        <v>185</v>
      </c>
      <c r="J5" s="31" t="s">
        <v>186</v>
      </c>
      <c r="K5" s="31" t="s">
        <v>165</v>
      </c>
      <c r="L5" s="31" t="s">
        <v>187</v>
      </c>
      <c r="M5" s="31" t="s">
        <v>116</v>
      </c>
      <c r="N5" s="31" t="s">
        <v>188</v>
      </c>
      <c r="O5" s="31" t="s">
        <v>189</v>
      </c>
      <c r="P5" s="31" t="s">
        <v>190</v>
      </c>
      <c r="Q5" s="31" t="s">
        <v>191</v>
      </c>
    </row>
    <row r="6" spans="2:17" ht="15" customHeight="1" x14ac:dyDescent="0.2">
      <c r="B6" s="36">
        <v>1</v>
      </c>
      <c r="C6" s="54">
        <f>SUMPRODUCT(($B6&gt;='Pricing Model'!$C$15:$C$19)*($B6&lt;='Pricing Model'!$D$15:$D$19)*'Pricing Model'!$E$15:$E$19)</f>
        <v>0</v>
      </c>
      <c r="D6" s="55">
        <f>'Pricing Model'!$C$6*(1-C6)</f>
        <v>99</v>
      </c>
      <c r="E6" s="56">
        <f t="shared" ref="E6:E17" si="0">$B6*D6*12</f>
        <v>1188</v>
      </c>
      <c r="F6" s="33">
        <f>D6*(1+'Pricing Model'!$C$8)</f>
        <v>113.85</v>
      </c>
      <c r="G6" s="57">
        <f>$B6*'Pricing Model'!$C$9*12</f>
        <v>2040</v>
      </c>
      <c r="H6" s="35">
        <f t="shared" ref="H6:H17" si="1">G6-E6</f>
        <v>852</v>
      </c>
      <c r="I6" s="58">
        <f t="shared" ref="I6:I17" si="2">IF(G6=0,0,1-E6/G6)</f>
        <v>0.41764705882352937</v>
      </c>
      <c r="J6" s="32" t="s">
        <v>192</v>
      </c>
      <c r="K6" s="59">
        <f>1-'Pricing Model'!$C$10/D6</f>
        <v>0.79797979797979801</v>
      </c>
      <c r="L6" s="58">
        <f>'Pricing Model'!$C$11</f>
        <v>0.6</v>
      </c>
      <c r="M6" s="32" t="str">
        <f t="shared" ref="M6:M17" si="3">IF(K6&lt;L6,"⚠ LOW","OK")</f>
        <v>OK</v>
      </c>
      <c r="N6" s="55">
        <f>D6*'Graduated Pricing'!$C$11/'Pricing Model'!$C$6</f>
        <v>299</v>
      </c>
      <c r="O6" s="56">
        <f t="shared" ref="O6:O17" si="4">$B6*N6*12</f>
        <v>3588</v>
      </c>
      <c r="P6" s="59">
        <f>1-'Pricing Model'!$C$10/N6</f>
        <v>0.93311036789297663</v>
      </c>
      <c r="Q6" s="32" t="str">
        <f t="shared" ref="Q6:Q17" si="5">IF(P6&lt;L6,"⚠ LOW","OK")</f>
        <v>OK</v>
      </c>
    </row>
    <row r="7" spans="2:17" ht="15" customHeight="1" x14ac:dyDescent="0.2">
      <c r="B7" s="36">
        <v>2</v>
      </c>
      <c r="C7" s="54">
        <f>SUMPRODUCT(($B7&gt;='Pricing Model'!$C$15:$C$19)*($B7&lt;='Pricing Model'!$D$15:$D$19)*'Pricing Model'!$E$15:$E$19)</f>
        <v>0</v>
      </c>
      <c r="D7" s="55">
        <f>'Pricing Model'!$C$6*(1-C7)</f>
        <v>99</v>
      </c>
      <c r="E7" s="56">
        <f t="shared" si="0"/>
        <v>2376</v>
      </c>
      <c r="F7" s="33">
        <f>D7*(1+'Pricing Model'!$C$8)</f>
        <v>113.85</v>
      </c>
      <c r="G7" s="57">
        <f>$B7*'Pricing Model'!$C$9*12</f>
        <v>4080</v>
      </c>
      <c r="H7" s="35">
        <f t="shared" si="1"/>
        <v>1704</v>
      </c>
      <c r="I7" s="58">
        <f t="shared" si="2"/>
        <v>0.41764705882352937</v>
      </c>
      <c r="J7" s="32" t="str">
        <f t="shared" ref="J7:J17" si="6">IF(E7&gt;=E6,"OK","⚠ CLIFF")</f>
        <v>OK</v>
      </c>
      <c r="K7" s="59">
        <f>1-'Pricing Model'!$C$10/D7</f>
        <v>0.79797979797979801</v>
      </c>
      <c r="L7" s="58">
        <f>'Pricing Model'!$C$11</f>
        <v>0.6</v>
      </c>
      <c r="M7" s="32" t="str">
        <f t="shared" si="3"/>
        <v>OK</v>
      </c>
      <c r="N7" s="55">
        <f>D7*'Graduated Pricing'!$C$11/'Pricing Model'!$C$6</f>
        <v>299</v>
      </c>
      <c r="O7" s="56">
        <f t="shared" si="4"/>
        <v>7176</v>
      </c>
      <c r="P7" s="59">
        <f>1-'Pricing Model'!$C$10/N7</f>
        <v>0.93311036789297663</v>
      </c>
      <c r="Q7" s="32" t="str">
        <f t="shared" si="5"/>
        <v>OK</v>
      </c>
    </row>
    <row r="8" spans="2:17" ht="15" customHeight="1" x14ac:dyDescent="0.2">
      <c r="B8" s="36">
        <v>3</v>
      </c>
      <c r="C8" s="54">
        <f>SUMPRODUCT(($B8&gt;='Pricing Model'!$C$15:$C$19)*($B8&lt;='Pricing Model'!$D$15:$D$19)*'Pricing Model'!$E$15:$E$19)</f>
        <v>0</v>
      </c>
      <c r="D8" s="55">
        <f>'Pricing Model'!$C$6*(1-C8)</f>
        <v>99</v>
      </c>
      <c r="E8" s="56">
        <f t="shared" si="0"/>
        <v>3564</v>
      </c>
      <c r="F8" s="33">
        <f>D8*(1+'Pricing Model'!$C$8)</f>
        <v>113.85</v>
      </c>
      <c r="G8" s="57">
        <f>$B8*'Pricing Model'!$C$9*12</f>
        <v>6120</v>
      </c>
      <c r="H8" s="35">
        <f t="shared" si="1"/>
        <v>2556</v>
      </c>
      <c r="I8" s="58">
        <f t="shared" si="2"/>
        <v>0.41764705882352937</v>
      </c>
      <c r="J8" s="32" t="str">
        <f t="shared" si="6"/>
        <v>OK</v>
      </c>
      <c r="K8" s="59">
        <f>1-'Pricing Model'!$C$10/D8</f>
        <v>0.79797979797979801</v>
      </c>
      <c r="L8" s="58">
        <f>'Pricing Model'!$C$11</f>
        <v>0.6</v>
      </c>
      <c r="M8" s="32" t="str">
        <f t="shared" si="3"/>
        <v>OK</v>
      </c>
      <c r="N8" s="55">
        <f>D8*'Graduated Pricing'!$C$11/'Pricing Model'!$C$6</f>
        <v>299</v>
      </c>
      <c r="O8" s="56">
        <f t="shared" si="4"/>
        <v>10764</v>
      </c>
      <c r="P8" s="59">
        <f>1-'Pricing Model'!$C$10/N8</f>
        <v>0.93311036789297663</v>
      </c>
      <c r="Q8" s="32" t="str">
        <f t="shared" si="5"/>
        <v>OK</v>
      </c>
    </row>
    <row r="9" spans="2:17" ht="15" customHeight="1" x14ac:dyDescent="0.2">
      <c r="B9" s="36">
        <v>4</v>
      </c>
      <c r="C9" s="54">
        <f>SUMPRODUCT(($B9&gt;='Pricing Model'!$C$15:$C$19)*($B9&lt;='Pricing Model'!$D$15:$D$19)*'Pricing Model'!$E$15:$E$19)</f>
        <v>0.22</v>
      </c>
      <c r="D9" s="55">
        <f>'Pricing Model'!$C$6*(1-C9)</f>
        <v>77.22</v>
      </c>
      <c r="E9" s="56">
        <f t="shared" si="0"/>
        <v>3706.56</v>
      </c>
      <c r="F9" s="33">
        <f>D9*(1+'Pricing Model'!$C$8)</f>
        <v>88.802999999999997</v>
      </c>
      <c r="G9" s="57">
        <f>$B9*'Pricing Model'!$C$9*12</f>
        <v>8160</v>
      </c>
      <c r="H9" s="35">
        <f t="shared" si="1"/>
        <v>4453.4400000000005</v>
      </c>
      <c r="I9" s="58">
        <f t="shared" si="2"/>
        <v>0.54576470588235293</v>
      </c>
      <c r="J9" s="32" t="str">
        <f t="shared" si="6"/>
        <v>OK</v>
      </c>
      <c r="K9" s="59">
        <f>1-'Pricing Model'!$C$10/D9</f>
        <v>0.74099974099974097</v>
      </c>
      <c r="L9" s="58">
        <f>'Pricing Model'!$C$11</f>
        <v>0.6</v>
      </c>
      <c r="M9" s="32" t="str">
        <f t="shared" si="3"/>
        <v>OK</v>
      </c>
      <c r="N9" s="55">
        <f>D9*'Graduated Pricing'!$C$11/'Pricing Model'!$C$6</f>
        <v>233.22</v>
      </c>
      <c r="O9" s="56">
        <f t="shared" si="4"/>
        <v>11194.56</v>
      </c>
      <c r="P9" s="59">
        <f>1-'Pricing Model'!$C$10/N9</f>
        <v>0.91424406140125203</v>
      </c>
      <c r="Q9" s="32" t="str">
        <f t="shared" si="5"/>
        <v>OK</v>
      </c>
    </row>
    <row r="10" spans="2:17" ht="15" customHeight="1" x14ac:dyDescent="0.2">
      <c r="B10" s="36">
        <v>5</v>
      </c>
      <c r="C10" s="54">
        <f>SUMPRODUCT(($B10&gt;='Pricing Model'!$C$15:$C$19)*($B10&lt;='Pricing Model'!$D$15:$D$19)*'Pricing Model'!$E$15:$E$19)</f>
        <v>0.22</v>
      </c>
      <c r="D10" s="55">
        <f>'Pricing Model'!$C$6*(1-C10)</f>
        <v>77.22</v>
      </c>
      <c r="E10" s="56">
        <f t="shared" si="0"/>
        <v>4633.2000000000007</v>
      </c>
      <c r="F10" s="33">
        <f>D10*(1+'Pricing Model'!$C$8)</f>
        <v>88.802999999999997</v>
      </c>
      <c r="G10" s="57">
        <f>$B10*'Pricing Model'!$C$9*12</f>
        <v>10200</v>
      </c>
      <c r="H10" s="35">
        <f t="shared" si="1"/>
        <v>5566.7999999999993</v>
      </c>
      <c r="I10" s="58">
        <f t="shared" si="2"/>
        <v>0.54576470588235293</v>
      </c>
      <c r="J10" s="32" t="str">
        <f t="shared" si="6"/>
        <v>OK</v>
      </c>
      <c r="K10" s="59">
        <f>1-'Pricing Model'!$C$10/D10</f>
        <v>0.74099974099974097</v>
      </c>
      <c r="L10" s="58">
        <f>'Pricing Model'!$C$11</f>
        <v>0.6</v>
      </c>
      <c r="M10" s="32" t="str">
        <f t="shared" si="3"/>
        <v>OK</v>
      </c>
      <c r="N10" s="55">
        <f>D10*'Graduated Pricing'!$C$11/'Pricing Model'!$C$6</f>
        <v>233.22</v>
      </c>
      <c r="O10" s="56">
        <f t="shared" si="4"/>
        <v>13993.199999999999</v>
      </c>
      <c r="P10" s="59">
        <f>1-'Pricing Model'!$C$10/N10</f>
        <v>0.91424406140125203</v>
      </c>
      <c r="Q10" s="32" t="str">
        <f t="shared" si="5"/>
        <v>OK</v>
      </c>
    </row>
    <row r="11" spans="2:17" ht="15" customHeight="1" x14ac:dyDescent="0.2">
      <c r="B11" s="36">
        <v>10</v>
      </c>
      <c r="C11" s="54">
        <f>SUMPRODUCT(($B11&gt;='Pricing Model'!$C$15:$C$19)*($B11&lt;='Pricing Model'!$D$15:$D$19)*'Pricing Model'!$E$15:$E$19)</f>
        <v>0.22</v>
      </c>
      <c r="D11" s="55">
        <f>'Pricing Model'!$C$6*(1-C11)</f>
        <v>77.22</v>
      </c>
      <c r="E11" s="56">
        <f t="shared" si="0"/>
        <v>9266.4000000000015</v>
      </c>
      <c r="F11" s="33">
        <f>D11*(1+'Pricing Model'!$C$8)</f>
        <v>88.802999999999997</v>
      </c>
      <c r="G11" s="57">
        <f>$B11*'Pricing Model'!$C$9*12</f>
        <v>20400</v>
      </c>
      <c r="H11" s="35">
        <f t="shared" si="1"/>
        <v>11133.599999999999</v>
      </c>
      <c r="I11" s="58">
        <f t="shared" si="2"/>
        <v>0.54576470588235293</v>
      </c>
      <c r="J11" s="32" t="str">
        <f t="shared" si="6"/>
        <v>OK</v>
      </c>
      <c r="K11" s="59">
        <f>1-'Pricing Model'!$C$10/D11</f>
        <v>0.74099974099974097</v>
      </c>
      <c r="L11" s="58">
        <f>'Pricing Model'!$C$11</f>
        <v>0.6</v>
      </c>
      <c r="M11" s="32" t="str">
        <f t="shared" si="3"/>
        <v>OK</v>
      </c>
      <c r="N11" s="55">
        <f>D11*'Graduated Pricing'!$C$11/'Pricing Model'!$C$6</f>
        <v>233.22</v>
      </c>
      <c r="O11" s="56">
        <f t="shared" si="4"/>
        <v>27986.399999999998</v>
      </c>
      <c r="P11" s="59">
        <f>1-'Pricing Model'!$C$10/N11</f>
        <v>0.91424406140125203</v>
      </c>
      <c r="Q11" s="32" t="str">
        <f t="shared" si="5"/>
        <v>OK</v>
      </c>
    </row>
    <row r="12" spans="2:17" ht="15" customHeight="1" x14ac:dyDescent="0.2">
      <c r="B12" s="36">
        <v>15</v>
      </c>
      <c r="C12" s="54">
        <f>SUMPRODUCT(($B12&gt;='Pricing Model'!$C$15:$C$19)*($B12&lt;='Pricing Model'!$D$15:$D$19)*'Pricing Model'!$E$15:$E$19)</f>
        <v>0.22</v>
      </c>
      <c r="D12" s="55">
        <f>'Pricing Model'!$C$6*(1-C12)</f>
        <v>77.22</v>
      </c>
      <c r="E12" s="56">
        <f t="shared" si="0"/>
        <v>13899.599999999999</v>
      </c>
      <c r="F12" s="33">
        <f>D12*(1+'Pricing Model'!$C$8)</f>
        <v>88.802999999999997</v>
      </c>
      <c r="G12" s="57">
        <f>$B12*'Pricing Model'!$C$9*12</f>
        <v>30600</v>
      </c>
      <c r="H12" s="35">
        <f t="shared" si="1"/>
        <v>16700.400000000001</v>
      </c>
      <c r="I12" s="58">
        <f t="shared" si="2"/>
        <v>0.54576470588235293</v>
      </c>
      <c r="J12" s="32" t="str">
        <f t="shared" si="6"/>
        <v>OK</v>
      </c>
      <c r="K12" s="59">
        <f>1-'Pricing Model'!$C$10/D12</f>
        <v>0.74099974099974097</v>
      </c>
      <c r="L12" s="58">
        <f>'Pricing Model'!$C$11</f>
        <v>0.6</v>
      </c>
      <c r="M12" s="32" t="str">
        <f t="shared" si="3"/>
        <v>OK</v>
      </c>
      <c r="N12" s="55">
        <f>D12*'Graduated Pricing'!$C$11/'Pricing Model'!$C$6</f>
        <v>233.22</v>
      </c>
      <c r="O12" s="56">
        <f t="shared" si="4"/>
        <v>41979.600000000006</v>
      </c>
      <c r="P12" s="59">
        <f>1-'Pricing Model'!$C$10/N12</f>
        <v>0.91424406140125203</v>
      </c>
      <c r="Q12" s="32" t="str">
        <f t="shared" si="5"/>
        <v>OK</v>
      </c>
    </row>
    <row r="13" spans="2:17" ht="15" customHeight="1" x14ac:dyDescent="0.2">
      <c r="B13" s="36">
        <v>20</v>
      </c>
      <c r="C13" s="54">
        <f>SUMPRODUCT(($B13&gt;='Pricing Model'!$C$15:$C$19)*($B13&lt;='Pricing Model'!$D$15:$D$19)*'Pricing Model'!$E$15:$E$19)</f>
        <v>0.26</v>
      </c>
      <c r="D13" s="55">
        <f>'Pricing Model'!$C$6*(1-C13)</f>
        <v>73.260000000000005</v>
      </c>
      <c r="E13" s="56">
        <f t="shared" si="0"/>
        <v>17582.400000000001</v>
      </c>
      <c r="F13" s="33">
        <f>D13*(1+'Pricing Model'!$C$8)</f>
        <v>84.248999999999995</v>
      </c>
      <c r="G13" s="57">
        <f>$B13*'Pricing Model'!$C$9*12</f>
        <v>40800</v>
      </c>
      <c r="H13" s="35">
        <f t="shared" si="1"/>
        <v>23217.599999999999</v>
      </c>
      <c r="I13" s="58">
        <f t="shared" si="2"/>
        <v>0.56905882352941173</v>
      </c>
      <c r="J13" s="32" t="str">
        <f t="shared" si="6"/>
        <v>OK</v>
      </c>
      <c r="K13" s="59">
        <f>1-'Pricing Model'!$C$10/D13</f>
        <v>0.72699972699972704</v>
      </c>
      <c r="L13" s="58">
        <f>'Pricing Model'!$C$11</f>
        <v>0.6</v>
      </c>
      <c r="M13" s="32" t="str">
        <f t="shared" si="3"/>
        <v>OK</v>
      </c>
      <c r="N13" s="55">
        <f>D13*'Graduated Pricing'!$C$11/'Pricing Model'!$C$6</f>
        <v>221.26000000000002</v>
      </c>
      <c r="O13" s="56">
        <f t="shared" si="4"/>
        <v>53102.400000000009</v>
      </c>
      <c r="P13" s="59">
        <f>1-'Pricing Model'!$C$10/N13</f>
        <v>0.90960860526077914</v>
      </c>
      <c r="Q13" s="32" t="str">
        <f t="shared" si="5"/>
        <v>OK</v>
      </c>
    </row>
    <row r="14" spans="2:17" ht="15" customHeight="1" x14ac:dyDescent="0.2">
      <c r="B14" s="36">
        <v>30</v>
      </c>
      <c r="C14" s="54">
        <f>SUMPRODUCT(($B14&gt;='Pricing Model'!$C$15:$C$19)*($B14&lt;='Pricing Model'!$D$15:$D$19)*'Pricing Model'!$E$15:$E$19)</f>
        <v>0.26</v>
      </c>
      <c r="D14" s="55">
        <f>'Pricing Model'!$C$6*(1-C14)</f>
        <v>73.260000000000005</v>
      </c>
      <c r="E14" s="56">
        <f t="shared" si="0"/>
        <v>26373.600000000002</v>
      </c>
      <c r="F14" s="33">
        <f>D14*(1+'Pricing Model'!$C$8)</f>
        <v>84.248999999999995</v>
      </c>
      <c r="G14" s="57">
        <f>$B14*'Pricing Model'!$C$9*12</f>
        <v>61200</v>
      </c>
      <c r="H14" s="35">
        <f t="shared" si="1"/>
        <v>34826.399999999994</v>
      </c>
      <c r="I14" s="58">
        <f t="shared" si="2"/>
        <v>0.56905882352941173</v>
      </c>
      <c r="J14" s="32" t="str">
        <f t="shared" si="6"/>
        <v>OK</v>
      </c>
      <c r="K14" s="59">
        <f>1-'Pricing Model'!$C$10/D14</f>
        <v>0.72699972699972704</v>
      </c>
      <c r="L14" s="58">
        <f>'Pricing Model'!$C$11</f>
        <v>0.6</v>
      </c>
      <c r="M14" s="32" t="str">
        <f t="shared" si="3"/>
        <v>OK</v>
      </c>
      <c r="N14" s="55">
        <f>D14*'Graduated Pricing'!$C$11/'Pricing Model'!$C$6</f>
        <v>221.26000000000002</v>
      </c>
      <c r="O14" s="56">
        <f t="shared" si="4"/>
        <v>79653.600000000006</v>
      </c>
      <c r="P14" s="59">
        <f>1-'Pricing Model'!$C$10/N14</f>
        <v>0.90960860526077914</v>
      </c>
      <c r="Q14" s="32" t="str">
        <f t="shared" si="5"/>
        <v>OK</v>
      </c>
    </row>
    <row r="15" spans="2:17" ht="15" customHeight="1" x14ac:dyDescent="0.2">
      <c r="B15" s="36">
        <v>50</v>
      </c>
      <c r="C15" s="54">
        <f>SUMPRODUCT(($B15&gt;='Pricing Model'!$C$15:$C$19)*($B15&lt;='Pricing Model'!$D$15:$D$19)*'Pricing Model'!$E$15:$E$19)</f>
        <v>0.28000000000000003</v>
      </c>
      <c r="D15" s="55">
        <f>'Pricing Model'!$C$6*(1-C15)</f>
        <v>71.28</v>
      </c>
      <c r="E15" s="56">
        <f t="shared" si="0"/>
        <v>42768</v>
      </c>
      <c r="F15" s="33">
        <f>D15*(1+'Pricing Model'!$C$8)</f>
        <v>81.971999999999994</v>
      </c>
      <c r="G15" s="57">
        <f>$B15*'Pricing Model'!$C$9*12</f>
        <v>102000</v>
      </c>
      <c r="H15" s="35">
        <f t="shared" si="1"/>
        <v>59232</v>
      </c>
      <c r="I15" s="58">
        <f t="shared" si="2"/>
        <v>0.58070588235294118</v>
      </c>
      <c r="J15" s="32" t="str">
        <f t="shared" si="6"/>
        <v>OK</v>
      </c>
      <c r="K15" s="59">
        <f>1-'Pricing Model'!$C$10/D15</f>
        <v>0.71941638608305269</v>
      </c>
      <c r="L15" s="58">
        <f>'Pricing Model'!$C$11</f>
        <v>0.6</v>
      </c>
      <c r="M15" s="32" t="str">
        <f t="shared" si="3"/>
        <v>OK</v>
      </c>
      <c r="N15" s="55">
        <f>D15*'Graduated Pricing'!$C$11/'Pricing Model'!$C$6</f>
        <v>215.28</v>
      </c>
      <c r="O15" s="56">
        <f t="shared" si="4"/>
        <v>129168</v>
      </c>
      <c r="P15" s="59">
        <f>1-'Pricing Model'!$C$10/N15</f>
        <v>0.90709773318468967</v>
      </c>
      <c r="Q15" s="32" t="str">
        <f t="shared" si="5"/>
        <v>OK</v>
      </c>
    </row>
    <row r="16" spans="2:17" ht="15" customHeight="1" x14ac:dyDescent="0.2">
      <c r="B16" s="36">
        <v>75</v>
      </c>
      <c r="C16" s="54">
        <f>SUMPRODUCT(($B16&gt;='Pricing Model'!$C$15:$C$19)*($B16&lt;='Pricing Model'!$D$15:$D$19)*'Pricing Model'!$E$15:$E$19)</f>
        <v>0.28999999999999998</v>
      </c>
      <c r="D16" s="55">
        <f>'Pricing Model'!$C$6*(1-C16)</f>
        <v>70.289999999999992</v>
      </c>
      <c r="E16" s="56">
        <f t="shared" si="0"/>
        <v>63260.999999999985</v>
      </c>
      <c r="F16" s="33">
        <f>D16*(1+'Pricing Model'!$C$8)</f>
        <v>80.833499999999987</v>
      </c>
      <c r="G16" s="57">
        <f>$B16*'Pricing Model'!$C$9*12</f>
        <v>153000</v>
      </c>
      <c r="H16" s="35">
        <f t="shared" si="1"/>
        <v>89739.000000000015</v>
      </c>
      <c r="I16" s="58">
        <f t="shared" si="2"/>
        <v>0.58652941176470597</v>
      </c>
      <c r="J16" s="32" t="str">
        <f t="shared" si="6"/>
        <v>OK</v>
      </c>
      <c r="K16" s="59">
        <f>1-'Pricing Model'!$C$10/D16</f>
        <v>0.71546450419689855</v>
      </c>
      <c r="L16" s="58">
        <f>'Pricing Model'!$C$11</f>
        <v>0.6</v>
      </c>
      <c r="M16" s="32" t="str">
        <f t="shared" si="3"/>
        <v>OK</v>
      </c>
      <c r="N16" s="55">
        <f>D16*'Graduated Pricing'!$C$11/'Pricing Model'!$C$6</f>
        <v>212.29</v>
      </c>
      <c r="O16" s="56">
        <f t="shared" si="4"/>
        <v>191061</v>
      </c>
      <c r="P16" s="59">
        <f>1-'Pricing Model'!$C$10/N16</f>
        <v>0.90578925055348813</v>
      </c>
      <c r="Q16" s="32" t="str">
        <f t="shared" si="5"/>
        <v>OK</v>
      </c>
    </row>
    <row r="17" spans="2:17" ht="15" customHeight="1" x14ac:dyDescent="0.2">
      <c r="B17" s="36">
        <v>100</v>
      </c>
      <c r="C17" s="54">
        <f>SUMPRODUCT(($B17&gt;='Pricing Model'!$C$15:$C$19)*($B17&lt;='Pricing Model'!$D$15:$D$19)*'Pricing Model'!$E$15:$E$19)</f>
        <v>0.28999999999999998</v>
      </c>
      <c r="D17" s="55">
        <f>'Pricing Model'!$C$6*(1-C17)</f>
        <v>70.289999999999992</v>
      </c>
      <c r="E17" s="56">
        <f t="shared" si="0"/>
        <v>84347.999999999985</v>
      </c>
      <c r="F17" s="33">
        <f>D17*(1+'Pricing Model'!$C$8)</f>
        <v>80.833499999999987</v>
      </c>
      <c r="G17" s="57">
        <f>$B17*'Pricing Model'!$C$9*12</f>
        <v>204000</v>
      </c>
      <c r="H17" s="35">
        <f t="shared" si="1"/>
        <v>119652.00000000001</v>
      </c>
      <c r="I17" s="58">
        <f t="shared" si="2"/>
        <v>0.58652941176470597</v>
      </c>
      <c r="J17" s="32" t="str">
        <f t="shared" si="6"/>
        <v>OK</v>
      </c>
      <c r="K17" s="59">
        <f>1-'Pricing Model'!$C$10/D17</f>
        <v>0.71546450419689855</v>
      </c>
      <c r="L17" s="58">
        <f>'Pricing Model'!$C$11</f>
        <v>0.6</v>
      </c>
      <c r="M17" s="32" t="str">
        <f t="shared" si="3"/>
        <v>OK</v>
      </c>
      <c r="N17" s="55">
        <f>D17*'Graduated Pricing'!$C$11/'Pricing Model'!$C$6</f>
        <v>212.29</v>
      </c>
      <c r="O17" s="56">
        <f t="shared" si="4"/>
        <v>254748</v>
      </c>
      <c r="P17" s="59">
        <f>1-'Pricing Model'!$C$10/N17</f>
        <v>0.90578925055348813</v>
      </c>
      <c r="Q17" s="32" t="str">
        <f t="shared" si="5"/>
        <v>OK</v>
      </c>
    </row>
  </sheetData>
  <mergeCells count="2">
    <mergeCell ref="B3:N3"/>
    <mergeCell ref="B2:N2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70"/>
  <sheetViews>
    <sheetView showGridLines="0" topLeftCell="A28" zoomScale="130" zoomScaleNormal="130" workbookViewId="0">
      <pane xSplit="1" topLeftCell="B1" activePane="topRight" state="frozen"/>
      <selection activeCell="A30" sqref="A30"/>
      <selection pane="topRight" activeCell="A35" sqref="A35:XFD35"/>
    </sheetView>
  </sheetViews>
  <sheetFormatPr baseColWidth="10" defaultColWidth="8.6640625" defaultRowHeight="15" customHeight="1" x14ac:dyDescent="0.2"/>
  <cols>
    <col min="1" max="1" width="3" customWidth="1"/>
    <col min="2" max="2" width="46.6640625" customWidth="1"/>
    <col min="3" max="3" width="21.1640625" customWidth="1"/>
    <col min="4" max="4" width="21.5" customWidth="1"/>
    <col min="5" max="5" width="19.1640625" customWidth="1"/>
    <col min="6" max="6" width="16.5" customWidth="1"/>
    <col min="7" max="7" width="14" customWidth="1"/>
    <col min="8" max="8" width="16.5" customWidth="1"/>
    <col min="9" max="10" width="14" customWidth="1"/>
    <col min="11" max="11" width="15.83203125" customWidth="1"/>
  </cols>
  <sheetData>
    <row r="2" spans="2:10" ht="25.5" customHeight="1" x14ac:dyDescent="0.2">
      <c r="B2" s="114" t="s">
        <v>0</v>
      </c>
      <c r="C2" s="102"/>
      <c r="D2" s="102"/>
      <c r="E2" s="102"/>
      <c r="F2" s="102"/>
      <c r="G2" s="102"/>
      <c r="H2" s="102"/>
      <c r="I2" s="102"/>
      <c r="J2" s="102"/>
    </row>
    <row r="3" spans="2:10" ht="25.5" customHeight="1" x14ac:dyDescent="0.2">
      <c r="B3" s="113" t="s">
        <v>1</v>
      </c>
      <c r="C3" s="102"/>
      <c r="D3" s="102"/>
      <c r="E3" s="102"/>
      <c r="F3" s="102"/>
      <c r="G3" s="102"/>
      <c r="H3" s="102"/>
      <c r="I3" s="102"/>
      <c r="J3" s="102"/>
    </row>
    <row r="5" spans="2:10" ht="15" customHeight="1" x14ac:dyDescent="0.2">
      <c r="B5" s="61" t="s">
        <v>2</v>
      </c>
    </row>
    <row r="6" spans="2:10" ht="15" customHeight="1" x14ac:dyDescent="0.2">
      <c r="B6" s="62" t="s">
        <v>3</v>
      </c>
      <c r="C6" s="63">
        <v>15500</v>
      </c>
      <c r="D6" s="60" t="s">
        <v>4</v>
      </c>
    </row>
    <row r="7" spans="2:10" ht="15" customHeight="1" x14ac:dyDescent="0.2">
      <c r="B7" s="62" t="s">
        <v>5</v>
      </c>
      <c r="C7" s="64">
        <v>3</v>
      </c>
      <c r="D7" s="60" t="s">
        <v>6</v>
      </c>
    </row>
    <row r="8" spans="2:10" ht="15" customHeight="1" x14ac:dyDescent="0.2">
      <c r="B8" s="62" t="s">
        <v>7</v>
      </c>
      <c r="C8" s="65">
        <v>0.15</v>
      </c>
      <c r="D8" s="60" t="s">
        <v>8</v>
      </c>
    </row>
    <row r="9" spans="2:10" ht="15" customHeight="1" x14ac:dyDescent="0.2">
      <c r="B9" s="62" t="s">
        <v>9</v>
      </c>
      <c r="C9" s="64">
        <v>3</v>
      </c>
      <c r="D9" s="60" t="s">
        <v>10</v>
      </c>
    </row>
    <row r="10" spans="2:10" ht="15" customHeight="1" x14ac:dyDescent="0.2">
      <c r="B10" s="62" t="s">
        <v>11</v>
      </c>
      <c r="C10" s="65">
        <v>0.25</v>
      </c>
      <c r="D10" s="60" t="s">
        <v>12</v>
      </c>
    </row>
    <row r="11" spans="2:10" ht="15" customHeight="1" x14ac:dyDescent="0.2">
      <c r="B11" s="62" t="s">
        <v>13</v>
      </c>
      <c r="C11" s="65">
        <v>0.1</v>
      </c>
      <c r="D11" s="60" t="s">
        <v>14</v>
      </c>
    </row>
    <row r="12" spans="2:10" ht="15" customHeight="1" x14ac:dyDescent="0.2">
      <c r="B12" s="62" t="s">
        <v>15</v>
      </c>
      <c r="C12" s="65">
        <v>0.05</v>
      </c>
      <c r="D12" s="60" t="s">
        <v>16</v>
      </c>
    </row>
    <row r="14" spans="2:10" ht="15" customHeight="1" x14ac:dyDescent="0.2">
      <c r="B14" s="61" t="s">
        <v>17</v>
      </c>
    </row>
    <row r="15" spans="2:10" ht="15" customHeight="1" x14ac:dyDescent="0.2">
      <c r="B15" s="62" t="s">
        <v>18</v>
      </c>
      <c r="C15" s="66">
        <f>'Pricing Model'!$C$6</f>
        <v>99</v>
      </c>
      <c r="D15" s="60" t="s">
        <v>19</v>
      </c>
    </row>
    <row r="16" spans="2:10" ht="15" customHeight="1" x14ac:dyDescent="0.2">
      <c r="B16" s="62" t="s">
        <v>20</v>
      </c>
      <c r="C16" s="63">
        <f>'Graduated Pricing'!$C$11</f>
        <v>299</v>
      </c>
      <c r="D16" s="60" t="s">
        <v>21</v>
      </c>
    </row>
    <row r="17" spans="2:11" ht="15" customHeight="1" x14ac:dyDescent="0.2">
      <c r="B17" s="62" t="s">
        <v>22</v>
      </c>
      <c r="C17" s="67">
        <f>$C$16/$C$15</f>
        <v>3.0202020202020203</v>
      </c>
      <c r="D17" s="60" t="s">
        <v>23</v>
      </c>
    </row>
    <row r="18" spans="2:11" ht="15" customHeight="1" x14ac:dyDescent="0.2">
      <c r="B18" s="62" t="s">
        <v>24</v>
      </c>
      <c r="C18" s="68">
        <f>'Pricing Model'!$C$8</f>
        <v>0.15</v>
      </c>
      <c r="D18" s="60" t="s">
        <v>19</v>
      </c>
    </row>
    <row r="20" spans="2:11" ht="15" customHeight="1" x14ac:dyDescent="0.2">
      <c r="B20" s="61" t="s">
        <v>25</v>
      </c>
    </row>
    <row r="21" spans="2:11" ht="15" customHeight="1" x14ac:dyDescent="0.2">
      <c r="B21" s="62" t="s">
        <v>26</v>
      </c>
      <c r="C21" s="69">
        <f>SUMPRODUCT((((( $C$9+'Graduated Pricing'!$D$14:$D$18-ABS($C$9-'Graduated Pricing'!$D$14:$D$18))/2)-'Graduated Pricing'!$C$14:$C$18+1)+ABS((($C$9+'Graduated Pricing'!$D$14:$D$18-ABS($C$9-'Graduated Pricing'!$D$14:$D$18))/2-'Graduated Pricing'!$C$14:$C$18+1)))/2*'Graduated Pricing'!$E$14:$E$18)</f>
        <v>297</v>
      </c>
    </row>
    <row r="22" spans="2:11" ht="15" customHeight="1" x14ac:dyDescent="0.2">
      <c r="B22" s="62" t="s">
        <v>27</v>
      </c>
      <c r="C22" s="69">
        <f>$C$21/$C$9</f>
        <v>99</v>
      </c>
    </row>
    <row r="23" spans="2:11" ht="15" customHeight="1" x14ac:dyDescent="0.2">
      <c r="B23" s="62" t="s">
        <v>28</v>
      </c>
      <c r="C23" s="69">
        <f>$C$22*$C$16/$C$15</f>
        <v>299</v>
      </c>
    </row>
    <row r="24" spans="2:11" ht="15" customHeight="1" x14ac:dyDescent="0.2">
      <c r="B24" s="62" t="s">
        <v>29</v>
      </c>
      <c r="C24" s="69">
        <f>$C$21*(1+$C$11*$C$18)</f>
        <v>301.45499999999998</v>
      </c>
    </row>
    <row r="25" spans="2:11" ht="15" customHeight="1" x14ac:dyDescent="0.2">
      <c r="B25" s="62" t="s">
        <v>30</v>
      </c>
      <c r="C25" s="69">
        <f>$C$21*($C$16/$C$15)*(1+$C$11*$C$18)</f>
        <v>910.45499999999993</v>
      </c>
    </row>
    <row r="26" spans="2:11" ht="15" customHeight="1" x14ac:dyDescent="0.2">
      <c r="B26" s="70" t="s">
        <v>31</v>
      </c>
      <c r="C26" s="71">
        <f>(1-$C$10)*$C$24+$C$10*$C$25</f>
        <v>453.70499999999998</v>
      </c>
    </row>
    <row r="28" spans="2:11" ht="15" customHeight="1" x14ac:dyDescent="0.2">
      <c r="B28" s="61" t="s">
        <v>32</v>
      </c>
    </row>
    <row r="29" spans="2:11" ht="15" customHeight="1" x14ac:dyDescent="0.2">
      <c r="B29" s="72" t="s">
        <v>33</v>
      </c>
      <c r="C29" s="72" t="s">
        <v>34</v>
      </c>
      <c r="D29" s="72" t="s">
        <v>35</v>
      </c>
      <c r="E29" s="72" t="s">
        <v>36</v>
      </c>
      <c r="F29" s="72" t="s">
        <v>37</v>
      </c>
      <c r="G29" s="72" t="s">
        <v>38</v>
      </c>
      <c r="H29" s="72" t="s">
        <v>221</v>
      </c>
      <c r="I29" s="72" t="s">
        <v>39</v>
      </c>
      <c r="J29" s="72" t="s">
        <v>40</v>
      </c>
      <c r="K29" s="72" t="s">
        <v>41</v>
      </c>
    </row>
    <row r="30" spans="2:11" ht="15" customHeight="1" x14ac:dyDescent="0.2">
      <c r="B30" s="73" t="s">
        <v>42</v>
      </c>
      <c r="C30" s="74">
        <f>ROUND($C$7*(1+$C$8)^0,0)</f>
        <v>3</v>
      </c>
      <c r="D30" s="75">
        <f t="shared" ref="D30:D47" si="0">C30*$C$10</f>
        <v>0.75</v>
      </c>
      <c r="E30" s="69">
        <f t="shared" ref="E30:E47" si="1">C30*(1-$C$10)*$C$24</f>
        <v>678.27374999999995</v>
      </c>
      <c r="F30" s="69">
        <f t="shared" ref="F30:F47" si="2">C30*$C$10*$C$25</f>
        <v>682.84124999999995</v>
      </c>
      <c r="G30" s="69">
        <f t="shared" ref="G30:G47" si="3">E30+F30</f>
        <v>1361.1149999999998</v>
      </c>
      <c r="H30" s="69">
        <f>$C$6</f>
        <v>15500</v>
      </c>
      <c r="I30" s="69">
        <f t="shared" ref="I30:I47" si="4">H30*$C$12</f>
        <v>775</v>
      </c>
      <c r="J30" s="69">
        <f t="shared" ref="J30:J47" si="5">H30+G30-I30</f>
        <v>16086.114999999998</v>
      </c>
      <c r="K30" s="76">
        <f>(1-$C$12)^17</f>
        <v>0.41812033521917735</v>
      </c>
    </row>
    <row r="31" spans="2:11" ht="15" customHeight="1" x14ac:dyDescent="0.2">
      <c r="B31" s="73" t="s">
        <v>43</v>
      </c>
      <c r="C31" s="74">
        <f>ROUND($C$7*(1+$C$8)^1,0)</f>
        <v>3</v>
      </c>
      <c r="D31" s="75">
        <f t="shared" si="0"/>
        <v>0.75</v>
      </c>
      <c r="E31" s="69">
        <f t="shared" si="1"/>
        <v>678.27374999999995</v>
      </c>
      <c r="F31" s="69">
        <f t="shared" si="2"/>
        <v>682.84124999999995</v>
      </c>
      <c r="G31" s="69">
        <f t="shared" si="3"/>
        <v>1361.1149999999998</v>
      </c>
      <c r="H31" s="69">
        <f t="shared" ref="H31:H47" si="6">J30</f>
        <v>16086.114999999998</v>
      </c>
      <c r="I31" s="69">
        <f t="shared" si="4"/>
        <v>804.30574999999999</v>
      </c>
      <c r="J31" s="69">
        <f t="shared" si="5"/>
        <v>16642.924249999996</v>
      </c>
      <c r="K31" s="76">
        <f>(1-$C$12)^16</f>
        <v>0.44012666865176564</v>
      </c>
    </row>
    <row r="32" spans="2:11" ht="15" customHeight="1" x14ac:dyDescent="0.2">
      <c r="B32" s="73" t="s">
        <v>44</v>
      </c>
      <c r="C32" s="74">
        <f>ROUND($C$7*(1+$C$8)^2,0)</f>
        <v>4</v>
      </c>
      <c r="D32" s="75">
        <f t="shared" si="0"/>
        <v>1</v>
      </c>
      <c r="E32" s="69">
        <f t="shared" si="1"/>
        <v>904.36500000000001</v>
      </c>
      <c r="F32" s="69">
        <f t="shared" si="2"/>
        <v>910.45499999999993</v>
      </c>
      <c r="G32" s="69">
        <f t="shared" si="3"/>
        <v>1814.82</v>
      </c>
      <c r="H32" s="69">
        <f t="shared" si="6"/>
        <v>16642.924249999996</v>
      </c>
      <c r="I32" s="69">
        <f t="shared" si="4"/>
        <v>832.14621249999982</v>
      </c>
      <c r="J32" s="69">
        <f t="shared" si="5"/>
        <v>17625.598037499996</v>
      </c>
      <c r="K32" s="76">
        <f>(1-$C$12)^15</f>
        <v>0.46329123015975332</v>
      </c>
    </row>
    <row r="33" spans="2:11" ht="15" customHeight="1" x14ac:dyDescent="0.2">
      <c r="B33" s="73" t="s">
        <v>45</v>
      </c>
      <c r="C33" s="74">
        <f>ROUND($C$7*(1+$C$8)^3,0)</f>
        <v>5</v>
      </c>
      <c r="D33" s="75">
        <f t="shared" si="0"/>
        <v>1.25</v>
      </c>
      <c r="E33" s="69">
        <f t="shared" si="1"/>
        <v>1130.45625</v>
      </c>
      <c r="F33" s="69">
        <f t="shared" si="2"/>
        <v>1138.0687499999999</v>
      </c>
      <c r="G33" s="69">
        <f t="shared" si="3"/>
        <v>2268.5249999999996</v>
      </c>
      <c r="H33" s="69">
        <f t="shared" si="6"/>
        <v>17625.598037499996</v>
      </c>
      <c r="I33" s="69">
        <f t="shared" si="4"/>
        <v>881.27990187499984</v>
      </c>
      <c r="J33" s="69">
        <f t="shared" si="5"/>
        <v>19012.843135624993</v>
      </c>
      <c r="K33" s="76">
        <f>(1-$C$12)^14</f>
        <v>0.48767497911552976</v>
      </c>
    </row>
    <row r="34" spans="2:11" ht="15" customHeight="1" x14ac:dyDescent="0.2">
      <c r="B34" s="73" t="s">
        <v>46</v>
      </c>
      <c r="C34" s="74">
        <f>ROUND($C$7*(1+$C$8)^4,0)</f>
        <v>5</v>
      </c>
      <c r="D34" s="75">
        <f t="shared" si="0"/>
        <v>1.25</v>
      </c>
      <c r="E34" s="69">
        <f t="shared" si="1"/>
        <v>1130.45625</v>
      </c>
      <c r="F34" s="69">
        <f t="shared" si="2"/>
        <v>1138.0687499999999</v>
      </c>
      <c r="G34" s="69">
        <f t="shared" si="3"/>
        <v>2268.5249999999996</v>
      </c>
      <c r="H34" s="69">
        <f t="shared" si="6"/>
        <v>19012.843135624993</v>
      </c>
      <c r="I34" s="69">
        <f t="shared" si="4"/>
        <v>950.6421567812497</v>
      </c>
      <c r="J34" s="69">
        <f t="shared" si="5"/>
        <v>20330.725978843744</v>
      </c>
      <c r="K34" s="76">
        <f>(1-$C$12)^13</f>
        <v>0.51334208327950503</v>
      </c>
    </row>
    <row r="35" spans="2:11" ht="15" customHeight="1" x14ac:dyDescent="0.2">
      <c r="B35" s="73" t="s">
        <v>47</v>
      </c>
      <c r="C35" s="74">
        <f>ROUND($C$7*(1+$C$8)^5,0)</f>
        <v>6</v>
      </c>
      <c r="D35" s="75">
        <f t="shared" si="0"/>
        <v>1.5</v>
      </c>
      <c r="E35" s="69">
        <f t="shared" si="1"/>
        <v>1356.5474999999999</v>
      </c>
      <c r="F35" s="69">
        <f t="shared" si="2"/>
        <v>1365.6824999999999</v>
      </c>
      <c r="G35" s="69">
        <f t="shared" si="3"/>
        <v>2722.2299999999996</v>
      </c>
      <c r="H35" s="69">
        <f t="shared" si="6"/>
        <v>20330.725978843744</v>
      </c>
      <c r="I35" s="69">
        <f t="shared" si="4"/>
        <v>1016.5362989421873</v>
      </c>
      <c r="J35" s="69">
        <f t="shared" si="5"/>
        <v>22036.419679901555</v>
      </c>
      <c r="K35" s="76">
        <f>(1-$C$12)^12</f>
        <v>0.54036008766263688</v>
      </c>
    </row>
    <row r="36" spans="2:11" ht="15" customHeight="1" x14ac:dyDescent="0.2">
      <c r="B36" s="73" t="s">
        <v>48</v>
      </c>
      <c r="C36" s="74">
        <f>ROUND($C$7*(1+$C$8)^6,0)</f>
        <v>7</v>
      </c>
      <c r="D36" s="75">
        <f t="shared" si="0"/>
        <v>1.75</v>
      </c>
      <c r="E36" s="69">
        <f t="shared" si="1"/>
        <v>1582.6387499999998</v>
      </c>
      <c r="F36" s="69">
        <f t="shared" si="2"/>
        <v>1593.2962499999999</v>
      </c>
      <c r="G36" s="69">
        <f t="shared" si="3"/>
        <v>3175.9349999999995</v>
      </c>
      <c r="H36" s="69">
        <f t="shared" si="6"/>
        <v>22036.419679901555</v>
      </c>
      <c r="I36" s="69">
        <f t="shared" si="4"/>
        <v>1101.8209839950778</v>
      </c>
      <c r="J36" s="69">
        <f t="shared" si="5"/>
        <v>24110.533695906473</v>
      </c>
      <c r="K36" s="76">
        <f>(1-$C$12)^11</f>
        <v>0.56880009227645989</v>
      </c>
    </row>
    <row r="37" spans="2:11" ht="15" customHeight="1" x14ac:dyDescent="0.2">
      <c r="B37" s="73" t="s">
        <v>49</v>
      </c>
      <c r="C37" s="74">
        <f>ROUND($C$7*(1+$C$8)^7,0)</f>
        <v>8</v>
      </c>
      <c r="D37" s="75">
        <f t="shared" si="0"/>
        <v>2</v>
      </c>
      <c r="E37" s="69">
        <f t="shared" si="1"/>
        <v>1808.73</v>
      </c>
      <c r="F37" s="69">
        <f t="shared" si="2"/>
        <v>1820.9099999999999</v>
      </c>
      <c r="G37" s="69">
        <f t="shared" si="3"/>
        <v>3629.64</v>
      </c>
      <c r="H37" s="69">
        <f t="shared" si="6"/>
        <v>24110.533695906473</v>
      </c>
      <c r="I37" s="69">
        <f t="shared" si="4"/>
        <v>1205.5266847953237</v>
      </c>
      <c r="J37" s="69">
        <f t="shared" si="5"/>
        <v>26534.647011111148</v>
      </c>
      <c r="K37" s="76">
        <f>(1-$C$12)^10</f>
        <v>0.5987369392383789</v>
      </c>
    </row>
    <row r="38" spans="2:11" ht="15" customHeight="1" x14ac:dyDescent="0.2">
      <c r="B38" s="73" t="s">
        <v>50</v>
      </c>
      <c r="C38" s="74">
        <f>ROUND($C$7*(1+$C$8)^8,0)</f>
        <v>9</v>
      </c>
      <c r="D38" s="75">
        <f t="shared" si="0"/>
        <v>2.25</v>
      </c>
      <c r="E38" s="69">
        <f t="shared" si="1"/>
        <v>2034.82125</v>
      </c>
      <c r="F38" s="69">
        <f t="shared" si="2"/>
        <v>2048.5237499999998</v>
      </c>
      <c r="G38" s="69">
        <f t="shared" si="3"/>
        <v>4083.3449999999998</v>
      </c>
      <c r="H38" s="69">
        <f t="shared" si="6"/>
        <v>26534.647011111148</v>
      </c>
      <c r="I38" s="69">
        <f t="shared" si="4"/>
        <v>1326.7323505555576</v>
      </c>
      <c r="J38" s="69">
        <f t="shared" si="5"/>
        <v>29291.259660555592</v>
      </c>
      <c r="K38" s="76">
        <f>(1-$C$12)^9</f>
        <v>0.6302494097246093</v>
      </c>
    </row>
    <row r="39" spans="2:11" ht="15" customHeight="1" x14ac:dyDescent="0.2">
      <c r="B39" s="73" t="s">
        <v>51</v>
      </c>
      <c r="C39" s="74">
        <f>ROUND($C$7*(1+$C$8)^9,0)</f>
        <v>11</v>
      </c>
      <c r="D39" s="75">
        <f t="shared" si="0"/>
        <v>2.75</v>
      </c>
      <c r="E39" s="69">
        <f t="shared" si="1"/>
        <v>2487.0037499999999</v>
      </c>
      <c r="F39" s="69">
        <f t="shared" si="2"/>
        <v>2503.7512499999998</v>
      </c>
      <c r="G39" s="69">
        <f t="shared" si="3"/>
        <v>4990.7549999999992</v>
      </c>
      <c r="H39" s="69">
        <f t="shared" si="6"/>
        <v>29291.259660555592</v>
      </c>
      <c r="I39" s="69">
        <f t="shared" si="4"/>
        <v>1464.5629830277796</v>
      </c>
      <c r="J39" s="69">
        <f t="shared" si="5"/>
        <v>32817.45167752781</v>
      </c>
      <c r="K39" s="76">
        <f>(1-$C$12)^8</f>
        <v>0.66342043128906247</v>
      </c>
    </row>
    <row r="40" spans="2:11" ht="15" customHeight="1" x14ac:dyDescent="0.2">
      <c r="B40" s="73" t="s">
        <v>52</v>
      </c>
      <c r="C40" s="74">
        <f>ROUND($C$7*(1+$C$8)^10,0)</f>
        <v>12</v>
      </c>
      <c r="D40" s="75">
        <f t="shared" si="0"/>
        <v>3</v>
      </c>
      <c r="E40" s="69">
        <f t="shared" si="1"/>
        <v>2713.0949999999998</v>
      </c>
      <c r="F40" s="69">
        <f t="shared" si="2"/>
        <v>2731.3649999999998</v>
      </c>
      <c r="G40" s="69">
        <f t="shared" si="3"/>
        <v>5444.4599999999991</v>
      </c>
      <c r="H40" s="69">
        <f t="shared" si="6"/>
        <v>32817.45167752781</v>
      </c>
      <c r="I40" s="69">
        <f t="shared" si="4"/>
        <v>1640.8725838763905</v>
      </c>
      <c r="J40" s="69">
        <f t="shared" si="5"/>
        <v>36621.039093651416</v>
      </c>
      <c r="K40" s="76">
        <f>(1-$C$12)^7</f>
        <v>0.69833729609374995</v>
      </c>
    </row>
    <row r="41" spans="2:11" ht="15" customHeight="1" x14ac:dyDescent="0.2">
      <c r="B41" s="73" t="s">
        <v>53</v>
      </c>
      <c r="C41" s="74">
        <f>ROUND($C$7*(1+$C$8)^11,0)</f>
        <v>14</v>
      </c>
      <c r="D41" s="75">
        <f t="shared" si="0"/>
        <v>3.5</v>
      </c>
      <c r="E41" s="69">
        <f t="shared" si="1"/>
        <v>3165.2774999999997</v>
      </c>
      <c r="F41" s="69">
        <f t="shared" si="2"/>
        <v>3186.5924999999997</v>
      </c>
      <c r="G41" s="69">
        <f t="shared" si="3"/>
        <v>6351.869999999999</v>
      </c>
      <c r="H41" s="69">
        <f t="shared" si="6"/>
        <v>36621.039093651416</v>
      </c>
      <c r="I41" s="69">
        <f t="shared" si="4"/>
        <v>1831.0519546825708</v>
      </c>
      <c r="J41" s="69">
        <f t="shared" si="5"/>
        <v>41141.857138968844</v>
      </c>
      <c r="K41" s="76">
        <f>(1-$C$12)^6</f>
        <v>0.73509189062499991</v>
      </c>
    </row>
    <row r="42" spans="2:11" ht="15" customHeight="1" x14ac:dyDescent="0.2">
      <c r="B42" s="73" t="s">
        <v>54</v>
      </c>
      <c r="C42" s="74">
        <f>ROUND($C$7*(1+$C$8)^12,0)</f>
        <v>16</v>
      </c>
      <c r="D42" s="75">
        <f t="shared" si="0"/>
        <v>4</v>
      </c>
      <c r="E42" s="69">
        <f t="shared" si="1"/>
        <v>3617.46</v>
      </c>
      <c r="F42" s="69">
        <f t="shared" si="2"/>
        <v>3641.8199999999997</v>
      </c>
      <c r="G42" s="69">
        <f t="shared" si="3"/>
        <v>7259.28</v>
      </c>
      <c r="H42" s="69">
        <f t="shared" si="6"/>
        <v>41141.857138968844</v>
      </c>
      <c r="I42" s="69">
        <f t="shared" si="4"/>
        <v>2057.0928569484422</v>
      </c>
      <c r="J42" s="69">
        <f t="shared" si="5"/>
        <v>46344.044282020404</v>
      </c>
      <c r="K42" s="76">
        <f>(1-$C$12)^5</f>
        <v>0.77378093749999999</v>
      </c>
    </row>
    <row r="43" spans="2:11" ht="15" customHeight="1" x14ac:dyDescent="0.2">
      <c r="B43" s="73" t="s">
        <v>55</v>
      </c>
      <c r="C43" s="74">
        <f>ROUND($C$7*(1+$C$8)^13,0)</f>
        <v>18</v>
      </c>
      <c r="D43" s="75">
        <f t="shared" si="0"/>
        <v>4.5</v>
      </c>
      <c r="E43" s="69">
        <f t="shared" si="1"/>
        <v>4069.6424999999999</v>
      </c>
      <c r="F43" s="69">
        <f t="shared" si="2"/>
        <v>4097.0474999999997</v>
      </c>
      <c r="G43" s="69">
        <f t="shared" si="3"/>
        <v>8166.69</v>
      </c>
      <c r="H43" s="69">
        <f t="shared" si="6"/>
        <v>46344.044282020404</v>
      </c>
      <c r="I43" s="69">
        <f t="shared" si="4"/>
        <v>2317.2022141010202</v>
      </c>
      <c r="J43" s="69">
        <f t="shared" si="5"/>
        <v>52193.532067919383</v>
      </c>
      <c r="K43" s="76">
        <f>(1-$C$12)^4</f>
        <v>0.81450624999999999</v>
      </c>
    </row>
    <row r="44" spans="2:11" ht="15" customHeight="1" x14ac:dyDescent="0.2">
      <c r="B44" s="73" t="s">
        <v>56</v>
      </c>
      <c r="C44" s="74">
        <f>ROUND($C$7*(1+$C$8)^14,0)</f>
        <v>21</v>
      </c>
      <c r="D44" s="75">
        <f t="shared" si="0"/>
        <v>5.25</v>
      </c>
      <c r="E44" s="69">
        <f t="shared" si="1"/>
        <v>4747.9162499999993</v>
      </c>
      <c r="F44" s="69">
        <f t="shared" si="2"/>
        <v>4779.8887500000001</v>
      </c>
      <c r="G44" s="69">
        <f t="shared" si="3"/>
        <v>9527.8050000000003</v>
      </c>
      <c r="H44" s="69">
        <f t="shared" si="6"/>
        <v>52193.532067919383</v>
      </c>
      <c r="I44" s="69">
        <f t="shared" si="4"/>
        <v>2609.6766033959693</v>
      </c>
      <c r="J44" s="69">
        <f t="shared" si="5"/>
        <v>59111.660464523411</v>
      </c>
      <c r="K44" s="76">
        <f>(1-$C$12)^3</f>
        <v>0.85737499999999989</v>
      </c>
    </row>
    <row r="45" spans="2:11" ht="15" customHeight="1" x14ac:dyDescent="0.2">
      <c r="B45" s="73" t="s">
        <v>57</v>
      </c>
      <c r="C45" s="74">
        <f>ROUND($C$7*(1+$C$8)^15,0)</f>
        <v>24</v>
      </c>
      <c r="D45" s="75">
        <f t="shared" si="0"/>
        <v>6</v>
      </c>
      <c r="E45" s="69">
        <f t="shared" si="1"/>
        <v>5426.19</v>
      </c>
      <c r="F45" s="69">
        <f t="shared" si="2"/>
        <v>5462.73</v>
      </c>
      <c r="G45" s="69">
        <f t="shared" si="3"/>
        <v>10888.919999999998</v>
      </c>
      <c r="H45" s="69">
        <f t="shared" si="6"/>
        <v>59111.660464523411</v>
      </c>
      <c r="I45" s="69">
        <f t="shared" si="4"/>
        <v>2955.5830232261706</v>
      </c>
      <c r="J45" s="69">
        <f t="shared" si="5"/>
        <v>67044.997441297237</v>
      </c>
      <c r="K45" s="76">
        <f>(1-$C$12)^2</f>
        <v>0.90249999999999997</v>
      </c>
    </row>
    <row r="46" spans="2:11" ht="15" customHeight="1" x14ac:dyDescent="0.2">
      <c r="B46" s="73" t="s">
        <v>58</v>
      </c>
      <c r="C46" s="74">
        <f>ROUND($C$7*(1+$C$8)^16,0)</f>
        <v>28</v>
      </c>
      <c r="D46" s="75">
        <f t="shared" si="0"/>
        <v>7</v>
      </c>
      <c r="E46" s="69">
        <f t="shared" si="1"/>
        <v>6330.5549999999994</v>
      </c>
      <c r="F46" s="69">
        <f t="shared" si="2"/>
        <v>6373.1849999999995</v>
      </c>
      <c r="G46" s="69">
        <f t="shared" si="3"/>
        <v>12703.739999999998</v>
      </c>
      <c r="H46" s="69">
        <f t="shared" si="6"/>
        <v>67044.997441297237</v>
      </c>
      <c r="I46" s="69">
        <f t="shared" si="4"/>
        <v>3352.2498720648618</v>
      </c>
      <c r="J46" s="69">
        <f t="shared" si="5"/>
        <v>76396.487569232384</v>
      </c>
      <c r="K46" s="76">
        <f>(1-$C$12)^1</f>
        <v>0.95</v>
      </c>
    </row>
    <row r="47" spans="2:11" ht="15" customHeight="1" x14ac:dyDescent="0.2">
      <c r="B47" s="73" t="s">
        <v>59</v>
      </c>
      <c r="C47" s="74">
        <f>ROUND($C$7*(1+$C$8)^17,0)</f>
        <v>32</v>
      </c>
      <c r="D47" s="75">
        <f t="shared" si="0"/>
        <v>8</v>
      </c>
      <c r="E47" s="69">
        <f t="shared" si="1"/>
        <v>7234.92</v>
      </c>
      <c r="F47" s="69">
        <f t="shared" si="2"/>
        <v>7283.6399999999994</v>
      </c>
      <c r="G47" s="69">
        <f t="shared" si="3"/>
        <v>14518.56</v>
      </c>
      <c r="H47" s="69">
        <f t="shared" si="6"/>
        <v>76396.487569232384</v>
      </c>
      <c r="I47" s="69">
        <f t="shared" si="4"/>
        <v>3819.8243784616193</v>
      </c>
      <c r="J47" s="69">
        <f t="shared" si="5"/>
        <v>87095.223190770761</v>
      </c>
      <c r="K47" s="76">
        <f>(1-$C$12)^0</f>
        <v>1</v>
      </c>
    </row>
    <row r="49" spans="2:6" ht="15" customHeight="1" x14ac:dyDescent="0.2">
      <c r="B49" s="61" t="s">
        <v>60</v>
      </c>
    </row>
    <row r="50" spans="2:6" ht="15" customHeight="1" x14ac:dyDescent="0.2">
      <c r="B50" s="70" t="s">
        <v>61</v>
      </c>
      <c r="C50" s="71">
        <f>J47</f>
        <v>87095.223190770761</v>
      </c>
    </row>
    <row r="51" spans="2:6" ht="15" customHeight="1" x14ac:dyDescent="0.2">
      <c r="B51" s="70" t="s">
        <v>62</v>
      </c>
      <c r="C51" s="71">
        <f>J47*12</f>
        <v>1045142.6782892491</v>
      </c>
    </row>
    <row r="52" spans="2:6" ht="15" customHeight="1" x14ac:dyDescent="0.2">
      <c r="B52" s="62" t="s">
        <v>63</v>
      </c>
      <c r="C52" s="74">
        <f>SUM(C30:C47)</f>
        <v>226</v>
      </c>
    </row>
    <row r="53" spans="2:6" ht="15" customHeight="1" x14ac:dyDescent="0.2">
      <c r="B53" s="62" t="s">
        <v>64</v>
      </c>
      <c r="C53" s="74">
        <f>SUM(C30:C47)*$C$9</f>
        <v>678</v>
      </c>
    </row>
    <row r="54" spans="2:6" ht="15" customHeight="1" x14ac:dyDescent="0.2">
      <c r="B54" s="62" t="s">
        <v>65</v>
      </c>
      <c r="C54" s="69">
        <f>SUM(G30:G47)</f>
        <v>102537.32999999999</v>
      </c>
    </row>
    <row r="55" spans="2:6" ht="15" customHeight="1" x14ac:dyDescent="0.2">
      <c r="B55" s="62" t="s">
        <v>273</v>
      </c>
      <c r="C55" s="69">
        <f>SUM(E30:E47)</f>
        <v>51096.622499999998</v>
      </c>
    </row>
    <row r="56" spans="2:6" ht="15" customHeight="1" x14ac:dyDescent="0.2">
      <c r="B56" s="62" t="s">
        <v>274</v>
      </c>
      <c r="C56" s="69">
        <f>SUM(F30:F47)</f>
        <v>51440.70749999999</v>
      </c>
    </row>
    <row r="57" spans="2:6" ht="15" customHeight="1" x14ac:dyDescent="0.2">
      <c r="B57" s="62" t="s">
        <v>66</v>
      </c>
      <c r="C57" s="77">
        <f>SUM(F30:F47)/SUM(G30:G47)</f>
        <v>0.5016778523489932</v>
      </c>
    </row>
    <row r="58" spans="2:6" ht="15" customHeight="1" x14ac:dyDescent="0.2">
      <c r="B58" s="62" t="s">
        <v>67</v>
      </c>
      <c r="C58" s="69">
        <f>SUM(G30:G47)/SUM(C30:C47)</f>
        <v>453.70499999999993</v>
      </c>
    </row>
    <row r="60" spans="2:6" ht="15" customHeight="1" x14ac:dyDescent="0.2">
      <c r="B60" s="61" t="s">
        <v>68</v>
      </c>
    </row>
    <row r="61" spans="2:6" ht="15" customHeight="1" x14ac:dyDescent="0.2">
      <c r="B61" s="62" t="s">
        <v>69</v>
      </c>
      <c r="C61" s="69">
        <f>$C$6*(1-$C$12)^18</f>
        <v>6156.8219361023866</v>
      </c>
    </row>
    <row r="62" spans="2:6" ht="15" customHeight="1" x14ac:dyDescent="0.2">
      <c r="B62" s="62" t="s">
        <v>70</v>
      </c>
      <c r="C62" s="75">
        <f>SUMPRODUCT(C30:C47,K30:K47)</f>
        <v>178.39433388362124</v>
      </c>
      <c r="D62" s="60" t="s">
        <v>71</v>
      </c>
    </row>
    <row r="64" spans="2:6" ht="15" customHeight="1" x14ac:dyDescent="0.2">
      <c r="B64" s="72" t="s">
        <v>72</v>
      </c>
      <c r="C64" s="72" t="s">
        <v>73</v>
      </c>
      <c r="D64" s="72" t="s">
        <v>74</v>
      </c>
      <c r="E64" s="72" t="s">
        <v>75</v>
      </c>
      <c r="F64" s="72" t="s">
        <v>76</v>
      </c>
    </row>
    <row r="65" spans="2:6" ht="15" customHeight="1" x14ac:dyDescent="0.2">
      <c r="B65" s="78">
        <v>0</v>
      </c>
      <c r="C65" s="69">
        <f>(1-B65)*$C$24+B65*$C$25</f>
        <v>301.45499999999998</v>
      </c>
      <c r="D65" s="69">
        <f>$C$61+C65*$C$62</f>
        <v>59934.685856989425</v>
      </c>
      <c r="E65" s="69">
        <f>D65*12</f>
        <v>719216.23028387316</v>
      </c>
      <c r="F65" s="69">
        <f>E65-$C$51</f>
        <v>-325926.44800537592</v>
      </c>
    </row>
    <row r="66" spans="2:6" ht="15" customHeight="1" x14ac:dyDescent="0.2">
      <c r="B66" s="78">
        <v>0.25</v>
      </c>
      <c r="C66" s="69">
        <f>(1-B66)*$C$24+B66*$C$25</f>
        <v>453.70499999999998</v>
      </c>
      <c r="D66" s="69">
        <f>$C$61+C66*$C$62</f>
        <v>87095.223190770746</v>
      </c>
      <c r="E66" s="69">
        <f>D66*12</f>
        <v>1045142.678289249</v>
      </c>
      <c r="F66" s="69">
        <f>E66-$C$51</f>
        <v>0</v>
      </c>
    </row>
    <row r="67" spans="2:6" ht="15" customHeight="1" x14ac:dyDescent="0.2">
      <c r="B67" s="78">
        <v>0.5</v>
      </c>
      <c r="C67" s="69">
        <f>(1-B67)*$C$24+B67*$C$25</f>
        <v>605.95499999999993</v>
      </c>
      <c r="D67" s="69">
        <f>$C$61+C67*$C$62</f>
        <v>114255.76052455208</v>
      </c>
      <c r="E67" s="69">
        <f>D67*12</f>
        <v>1371069.126294625</v>
      </c>
      <c r="F67" s="69">
        <f>E67-$C$51</f>
        <v>325926.44800537592</v>
      </c>
    </row>
    <row r="68" spans="2:6" ht="15" customHeight="1" x14ac:dyDescent="0.2">
      <c r="B68" s="78">
        <v>0.75</v>
      </c>
      <c r="C68" s="69">
        <f>(1-B68)*$C$24+B68*$C$25</f>
        <v>758.20499999999993</v>
      </c>
      <c r="D68" s="69">
        <f>$C$61+C68*$C$62</f>
        <v>141416.29785833342</v>
      </c>
      <c r="E68" s="69">
        <f>D68*12</f>
        <v>1696995.5743000009</v>
      </c>
      <c r="F68" s="69">
        <f>E68-$C$51</f>
        <v>651852.89601075184</v>
      </c>
    </row>
    <row r="69" spans="2:6" ht="15" customHeight="1" x14ac:dyDescent="0.2">
      <c r="B69" s="78">
        <v>1</v>
      </c>
      <c r="C69" s="69">
        <f>(1-B69)*$C$24+B69*$C$25</f>
        <v>910.45499999999993</v>
      </c>
      <c r="D69" s="69">
        <f>$C$61+C69*$C$62</f>
        <v>168576.83519211476</v>
      </c>
      <c r="E69" s="69">
        <f>D69*12</f>
        <v>2022922.0223053771</v>
      </c>
      <c r="F69" s="69">
        <f>E69-$C$51</f>
        <v>977779.34401612799</v>
      </c>
    </row>
    <row r="70" spans="2:6" ht="15" customHeight="1" x14ac:dyDescent="0.2">
      <c r="B70" s="60" t="s">
        <v>77</v>
      </c>
    </row>
  </sheetData>
  <mergeCells count="2">
    <mergeCell ref="B3:J3"/>
    <mergeCell ref="B2:J2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31"/>
  <sheetViews>
    <sheetView showGridLines="0" zoomScaleNormal="100" workbookViewId="0"/>
  </sheetViews>
  <sheetFormatPr baseColWidth="10" defaultColWidth="8.6640625" defaultRowHeight="15" customHeight="1" x14ac:dyDescent="0.2"/>
  <cols>
    <col min="1" max="1" width="3" customWidth="1"/>
    <col min="2" max="2" width="106" customWidth="1"/>
  </cols>
  <sheetData>
    <row r="2" spans="2:2" ht="17.25" customHeight="1" x14ac:dyDescent="0.2">
      <c r="B2" s="79" t="s">
        <v>193</v>
      </c>
    </row>
    <row r="3" spans="2:2" ht="15" customHeight="1" x14ac:dyDescent="0.2">
      <c r="B3" s="80" t="s">
        <v>194</v>
      </c>
    </row>
    <row r="4" spans="2:2" ht="15" customHeight="1" x14ac:dyDescent="0.2">
      <c r="B4" s="81" t="s">
        <v>195</v>
      </c>
    </row>
    <row r="5" spans="2:2" ht="15" customHeight="1" x14ac:dyDescent="0.2">
      <c r="B5" s="81" t="s">
        <v>196</v>
      </c>
    </row>
    <row r="6" spans="2:2" ht="15" customHeight="1" x14ac:dyDescent="0.2">
      <c r="B6" s="81" t="s">
        <v>197</v>
      </c>
    </row>
    <row r="7" spans="2:2" ht="15" customHeight="1" x14ac:dyDescent="0.2">
      <c r="B7" s="81" t="s">
        <v>198</v>
      </c>
    </row>
    <row r="8" spans="2:2" ht="15" customHeight="1" x14ac:dyDescent="0.2">
      <c r="B8" s="81"/>
    </row>
    <row r="9" spans="2:2" ht="15" customHeight="1" x14ac:dyDescent="0.2">
      <c r="B9" s="80" t="s">
        <v>199</v>
      </c>
    </row>
    <row r="10" spans="2:2" ht="15" customHeight="1" x14ac:dyDescent="0.2">
      <c r="B10" s="81" t="s">
        <v>200</v>
      </c>
    </row>
    <row r="11" spans="2:2" ht="15" customHeight="1" x14ac:dyDescent="0.2">
      <c r="B11" s="81" t="s">
        <v>201</v>
      </c>
    </row>
    <row r="12" spans="2:2" ht="15" customHeight="1" x14ac:dyDescent="0.2">
      <c r="B12" s="81" t="s">
        <v>202</v>
      </c>
    </row>
    <row r="13" spans="2:2" ht="15" customHeight="1" x14ac:dyDescent="0.2">
      <c r="B13" s="81"/>
    </row>
    <row r="14" spans="2:2" ht="15" customHeight="1" x14ac:dyDescent="0.2">
      <c r="B14" s="80" t="s">
        <v>203</v>
      </c>
    </row>
    <row r="15" spans="2:2" ht="15" customHeight="1" x14ac:dyDescent="0.2">
      <c r="B15" s="81" t="s">
        <v>204</v>
      </c>
    </row>
    <row r="16" spans="2:2" ht="15" customHeight="1" x14ac:dyDescent="0.2">
      <c r="B16" s="81" t="s">
        <v>205</v>
      </c>
    </row>
    <row r="17" spans="2:2" ht="15" customHeight="1" x14ac:dyDescent="0.2">
      <c r="B17" s="81" t="s">
        <v>206</v>
      </c>
    </row>
    <row r="18" spans="2:2" ht="15" customHeight="1" x14ac:dyDescent="0.2">
      <c r="B18" s="81" t="s">
        <v>207</v>
      </c>
    </row>
    <row r="19" spans="2:2" ht="15" customHeight="1" x14ac:dyDescent="0.2">
      <c r="B19" s="81" t="s">
        <v>208</v>
      </c>
    </row>
    <row r="20" spans="2:2" ht="15" customHeight="1" x14ac:dyDescent="0.2">
      <c r="B20" s="81"/>
    </row>
    <row r="21" spans="2:2" ht="15" customHeight="1" x14ac:dyDescent="0.2">
      <c r="B21" s="80" t="s">
        <v>209</v>
      </c>
    </row>
    <row r="22" spans="2:2" ht="15" customHeight="1" x14ac:dyDescent="0.2">
      <c r="B22" s="81" t="s">
        <v>210</v>
      </c>
    </row>
    <row r="23" spans="2:2" ht="15" customHeight="1" x14ac:dyDescent="0.2">
      <c r="B23" s="81" t="s">
        <v>211</v>
      </c>
    </row>
    <row r="24" spans="2:2" ht="15" customHeight="1" x14ac:dyDescent="0.2">
      <c r="B24" s="81" t="s">
        <v>212</v>
      </c>
    </row>
    <row r="25" spans="2:2" ht="15" customHeight="1" x14ac:dyDescent="0.2">
      <c r="B25" s="81"/>
    </row>
    <row r="26" spans="2:2" ht="15" customHeight="1" x14ac:dyDescent="0.2">
      <c r="B26" s="80" t="s">
        <v>213</v>
      </c>
    </row>
    <row r="27" spans="2:2" ht="15" customHeight="1" x14ac:dyDescent="0.2">
      <c r="B27" s="81" t="s">
        <v>214</v>
      </c>
    </row>
    <row r="28" spans="2:2" ht="15" customHeight="1" x14ac:dyDescent="0.2">
      <c r="B28" s="81" t="s">
        <v>215</v>
      </c>
    </row>
    <row r="29" spans="2:2" ht="15" customHeight="1" x14ac:dyDescent="0.2">
      <c r="B29" s="81" t="s">
        <v>216</v>
      </c>
    </row>
    <row r="30" spans="2:2" ht="15" customHeight="1" x14ac:dyDescent="0.2">
      <c r="B30" s="81"/>
    </row>
    <row r="31" spans="2:2" ht="15" customHeight="1" x14ac:dyDescent="0.2">
      <c r="B31" s="81" t="s">
        <v>217</v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Graduated Pricing</vt:lpstr>
      <vt:lpstr>Inclusions + Add-Ons</vt:lpstr>
      <vt:lpstr>Pricing Model</vt:lpstr>
      <vt:lpstr>Group Scenarios</vt:lpstr>
      <vt:lpstr>Revenue Forecast</vt:lpstr>
      <vt:lpstr>Notes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Ball</cp:lastModifiedBy>
  <cp:revision>1</cp:revision>
  <dcterms:created xsi:type="dcterms:W3CDTF">2026-07-02T10:45:50Z</dcterms:created>
  <dcterms:modified xsi:type="dcterms:W3CDTF">2026-07-14T05:11:23Z</dcterms:modified>
  <dc:language>en-US</dc:language>
</cp:coreProperties>
</file>